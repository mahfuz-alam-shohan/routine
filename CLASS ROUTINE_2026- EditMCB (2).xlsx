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290" tabRatio="759" activeTab="4"/>
  </bookViews>
  <sheets>
    <sheet name="Sun" sheetId="14" r:id="rId1"/>
    <sheet name="Mon" sheetId="13" r:id="rId2"/>
    <sheet name="Tues" sheetId="12" r:id="rId3"/>
    <sheet name="Wed" sheetId="11" r:id="rId4"/>
    <sheet name="Thurs" sheetId="2" r:id="rId5"/>
    <sheet name="Acct of Class" sheetId="7" r:id="rId6"/>
  </sheets>
  <definedNames>
    <definedName name="_xlnm._FilterDatabase" localSheetId="1" hidden="1">Mon!$A$1:$L$109</definedName>
    <definedName name="al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<sst xmlns="http://schemas.openxmlformats.org/spreadsheetml/2006/main" count="2853" uniqueCount="284">
  <si>
    <t>CLASS ROUTINE (SCHOOL) - 2026</t>
  </si>
  <si>
    <t>SUNDAY</t>
  </si>
  <si>
    <t>SUB</t>
  </si>
  <si>
    <t>SL</t>
  </si>
  <si>
    <t>NAME</t>
  </si>
  <si>
    <t>IST</t>
  </si>
  <si>
    <t>2ND</t>
  </si>
  <si>
    <t>3RD</t>
  </si>
  <si>
    <t>4TH</t>
  </si>
  <si>
    <t>5TH</t>
  </si>
  <si>
    <t>6TH</t>
  </si>
  <si>
    <t>7TH</t>
  </si>
  <si>
    <t>Total</t>
  </si>
  <si>
    <t>08.20-09.05</t>
  </si>
  <si>
    <t>09.05-09.45</t>
  </si>
  <si>
    <t>09.45-10.25</t>
  </si>
  <si>
    <t>10.25-11.05</t>
  </si>
  <si>
    <t>11.40-12.25</t>
  </si>
  <si>
    <t>12.25-13.05</t>
  </si>
  <si>
    <t>13.05-13:45</t>
  </si>
  <si>
    <t>BANGLA</t>
  </si>
  <si>
    <t>NA</t>
  </si>
  <si>
    <t>10A</t>
  </si>
  <si>
    <t>8C</t>
  </si>
  <si>
    <t>7D</t>
  </si>
  <si>
    <t>GA</t>
  </si>
  <si>
    <t>9B</t>
  </si>
  <si>
    <t>10B</t>
  </si>
  <si>
    <t>8A</t>
  </si>
  <si>
    <t>6E</t>
  </si>
  <si>
    <t>MR</t>
  </si>
  <si>
    <t>8D</t>
  </si>
  <si>
    <t>9BS</t>
  </si>
  <si>
    <t>10D</t>
  </si>
  <si>
    <t>9A</t>
  </si>
  <si>
    <t>AS</t>
  </si>
  <si>
    <t>6F</t>
  </si>
  <si>
    <t>7C</t>
  </si>
  <si>
    <t>6G</t>
  </si>
  <si>
    <t>SN</t>
  </si>
  <si>
    <t>6A</t>
  </si>
  <si>
    <t>6C</t>
  </si>
  <si>
    <t>8B</t>
  </si>
  <si>
    <t>JU</t>
  </si>
  <si>
    <t>9F</t>
  </si>
  <si>
    <t>5A</t>
  </si>
  <si>
    <t>SB</t>
  </si>
  <si>
    <t>4E</t>
  </si>
  <si>
    <t>8F</t>
  </si>
  <si>
    <t>10E</t>
  </si>
  <si>
    <t>7B</t>
  </si>
  <si>
    <t>KT</t>
  </si>
  <si>
    <t>3B</t>
  </si>
  <si>
    <t>7F</t>
  </si>
  <si>
    <t>10H</t>
  </si>
  <si>
    <t>9E</t>
  </si>
  <si>
    <t>6B</t>
  </si>
  <si>
    <t>TC</t>
  </si>
  <si>
    <t>9C</t>
  </si>
  <si>
    <t>6D</t>
  </si>
  <si>
    <t>10BS</t>
  </si>
  <si>
    <t>2C-Bhw</t>
  </si>
  <si>
    <t>1A</t>
  </si>
  <si>
    <t>MJH</t>
  </si>
  <si>
    <t>9H</t>
  </si>
  <si>
    <t>8E</t>
  </si>
  <si>
    <t>10F</t>
  </si>
  <si>
    <t>2E</t>
  </si>
  <si>
    <t>TJA</t>
  </si>
  <si>
    <t>9D</t>
  </si>
  <si>
    <t>1B</t>
  </si>
  <si>
    <t>5C</t>
  </si>
  <si>
    <t>ARB</t>
  </si>
  <si>
    <t>10C</t>
  </si>
  <si>
    <t>4A</t>
  </si>
  <si>
    <t>8G</t>
  </si>
  <si>
    <t>2G</t>
  </si>
  <si>
    <t>UHP</t>
  </si>
  <si>
    <t>5D</t>
  </si>
  <si>
    <t>JHB</t>
  </si>
  <si>
    <t>5B</t>
  </si>
  <si>
    <t>5G</t>
  </si>
  <si>
    <t>2F</t>
  </si>
  <si>
    <t>TS</t>
  </si>
  <si>
    <t>3G</t>
  </si>
  <si>
    <t>5E</t>
  </si>
  <si>
    <t>2B</t>
  </si>
  <si>
    <t>1D</t>
  </si>
  <si>
    <t>MAI</t>
  </si>
  <si>
    <t>7E</t>
  </si>
  <si>
    <t>5F</t>
  </si>
  <si>
    <t>1C</t>
  </si>
  <si>
    <t>2C</t>
  </si>
  <si>
    <t>ENGLISH</t>
  </si>
  <si>
    <t>BCB</t>
  </si>
  <si>
    <t>KU</t>
  </si>
  <si>
    <t>SHS</t>
  </si>
  <si>
    <t>4D</t>
  </si>
  <si>
    <t>NH</t>
  </si>
  <si>
    <t>SIS</t>
  </si>
  <si>
    <t>4G</t>
  </si>
  <si>
    <t>MSI</t>
  </si>
  <si>
    <t>MSH</t>
  </si>
  <si>
    <t>SJA</t>
  </si>
  <si>
    <t>4C</t>
  </si>
  <si>
    <t>RS</t>
  </si>
  <si>
    <t>ZK</t>
  </si>
  <si>
    <t>3C</t>
  </si>
  <si>
    <t>2A</t>
  </si>
  <si>
    <t>MAN</t>
  </si>
  <si>
    <t>MHM</t>
  </si>
  <si>
    <t>3F</t>
  </si>
  <si>
    <t>2D</t>
  </si>
  <si>
    <t>RU</t>
  </si>
  <si>
    <t>7G</t>
  </si>
  <si>
    <t>1F</t>
  </si>
  <si>
    <t>ISE</t>
  </si>
  <si>
    <t>KMA</t>
  </si>
  <si>
    <t>2A-Ehw</t>
  </si>
  <si>
    <t>KKR</t>
  </si>
  <si>
    <t>3D</t>
  </si>
  <si>
    <t>7A</t>
  </si>
  <si>
    <t>MATH</t>
  </si>
  <si>
    <t>MFA</t>
  </si>
  <si>
    <t>MOH</t>
  </si>
  <si>
    <t>NU</t>
  </si>
  <si>
    <t>SR</t>
  </si>
  <si>
    <t>SAS</t>
  </si>
  <si>
    <t>MRU</t>
  </si>
  <si>
    <t>4F</t>
  </si>
  <si>
    <t>MKH</t>
  </si>
  <si>
    <t>MAH</t>
  </si>
  <si>
    <t>3A</t>
  </si>
  <si>
    <t>AMR</t>
  </si>
  <si>
    <t>MES</t>
  </si>
  <si>
    <t>4B</t>
  </si>
  <si>
    <t>MRE</t>
  </si>
  <si>
    <t>MAF</t>
  </si>
  <si>
    <t>1G</t>
  </si>
  <si>
    <t>ZIK</t>
  </si>
  <si>
    <t>1E</t>
  </si>
  <si>
    <t>MSF</t>
  </si>
  <si>
    <t>NHS</t>
  </si>
  <si>
    <t>MKA</t>
  </si>
  <si>
    <t>3E</t>
  </si>
  <si>
    <t>SCIENCE</t>
  </si>
  <si>
    <t xml:space="preserve">SI </t>
  </si>
  <si>
    <t>CHE</t>
  </si>
  <si>
    <t>FA</t>
  </si>
  <si>
    <t>MHn</t>
  </si>
  <si>
    <t>AAM</t>
  </si>
  <si>
    <t>PHY</t>
  </si>
  <si>
    <t>MZ</t>
  </si>
  <si>
    <t>MTA</t>
  </si>
  <si>
    <t>ABS</t>
  </si>
  <si>
    <t>MOR</t>
  </si>
  <si>
    <t>TBZ</t>
  </si>
  <si>
    <t>MHS</t>
  </si>
  <si>
    <t>BIO</t>
  </si>
  <si>
    <t>SY</t>
  </si>
  <si>
    <t>AAF</t>
  </si>
  <si>
    <t>MHB</t>
  </si>
  <si>
    <t>NJM</t>
  </si>
  <si>
    <t>BGS</t>
  </si>
  <si>
    <t>JB</t>
  </si>
  <si>
    <t>6B-Cre</t>
  </si>
  <si>
    <t>DT</t>
  </si>
  <si>
    <t>MMH</t>
  </si>
  <si>
    <t>DN</t>
  </si>
  <si>
    <t>US</t>
  </si>
  <si>
    <t>MAK</t>
  </si>
  <si>
    <t>AMS</t>
  </si>
  <si>
    <t>NS</t>
  </si>
  <si>
    <t>MK</t>
  </si>
  <si>
    <t>MS</t>
  </si>
  <si>
    <t>RME</t>
  </si>
  <si>
    <t>MH</t>
  </si>
  <si>
    <t>AU</t>
  </si>
  <si>
    <t>AA</t>
  </si>
  <si>
    <t>MRR</t>
  </si>
  <si>
    <t>JA</t>
  </si>
  <si>
    <t>MAA</t>
  </si>
  <si>
    <t>SBK</t>
  </si>
  <si>
    <t>MSR</t>
  </si>
  <si>
    <t>MAR</t>
  </si>
  <si>
    <t>DC</t>
  </si>
  <si>
    <t>ICT</t>
  </si>
  <si>
    <t>MCB</t>
  </si>
  <si>
    <t>AHC</t>
  </si>
  <si>
    <t>NN</t>
  </si>
  <si>
    <t>NM</t>
  </si>
  <si>
    <t>LL</t>
  </si>
  <si>
    <t>MM</t>
  </si>
  <si>
    <t>JS</t>
  </si>
  <si>
    <t>6A+B</t>
  </si>
  <si>
    <t>9BS+H</t>
  </si>
  <si>
    <t>SHr</t>
  </si>
  <si>
    <t>10BS+ H</t>
  </si>
  <si>
    <t>7A+B</t>
  </si>
  <si>
    <t>7E+F</t>
  </si>
  <si>
    <t>MU</t>
  </si>
  <si>
    <t>FTJ</t>
  </si>
  <si>
    <t>HP</t>
  </si>
  <si>
    <t>ZF</t>
  </si>
  <si>
    <t>KKZ</t>
  </si>
  <si>
    <t>BU</t>
  </si>
  <si>
    <t>SOB</t>
  </si>
  <si>
    <t>DSL</t>
  </si>
  <si>
    <t>10BS+H</t>
  </si>
  <si>
    <t>MPA</t>
  </si>
  <si>
    <t>A&amp;C</t>
  </si>
  <si>
    <t>SKG</t>
  </si>
  <si>
    <t>MHR</t>
  </si>
  <si>
    <t>MKI</t>
  </si>
  <si>
    <t>SGM</t>
  </si>
  <si>
    <t>IJT</t>
  </si>
  <si>
    <t>LIB</t>
  </si>
  <si>
    <t>ASL</t>
  </si>
  <si>
    <t xml:space="preserve">CLASS ROUTINE (SCHOOL) - 2026 </t>
  </si>
  <si>
    <t>MONDAY</t>
  </si>
  <si>
    <t xml:space="preserve">2B-Ehw </t>
  </si>
  <si>
    <t>1B-Ehw</t>
  </si>
  <si>
    <t>2F-Ehw</t>
  </si>
  <si>
    <t>2D-Ehw</t>
  </si>
  <si>
    <t>2C-Ehw</t>
  </si>
  <si>
    <t>1OE</t>
  </si>
  <si>
    <t>3F-BGS</t>
  </si>
  <si>
    <t>3D-BGS</t>
  </si>
  <si>
    <t>8E+F</t>
  </si>
  <si>
    <t>7CLIB</t>
  </si>
  <si>
    <t>4B-BGS</t>
  </si>
  <si>
    <t>3D-PEd</t>
  </si>
  <si>
    <t>3E-Ped</t>
  </si>
  <si>
    <t xml:space="preserve">1G </t>
  </si>
  <si>
    <t>TUESDAY</t>
  </si>
  <si>
    <t>1OA</t>
  </si>
  <si>
    <t>1C-BHw</t>
  </si>
  <si>
    <t>7C+D</t>
  </si>
  <si>
    <t>8C+D</t>
  </si>
  <si>
    <t>6C+D</t>
  </si>
  <si>
    <t>1OD</t>
  </si>
  <si>
    <t>2GBHW</t>
  </si>
  <si>
    <t>1F-BHw</t>
  </si>
  <si>
    <t>WEDNESDAY</t>
  </si>
  <si>
    <t>2F-EHW</t>
  </si>
  <si>
    <t>2C-Game</t>
  </si>
  <si>
    <t>1D-BHw</t>
  </si>
  <si>
    <t>8A+B</t>
  </si>
  <si>
    <t>1E-Bang</t>
  </si>
  <si>
    <t>1A-Game</t>
  </si>
  <si>
    <t>2A-Game</t>
  </si>
  <si>
    <t>7F-Bgs</t>
  </si>
  <si>
    <t>1E-Eng</t>
  </si>
  <si>
    <t>1G-Game</t>
  </si>
  <si>
    <t>2B-Ehw</t>
  </si>
  <si>
    <t>1B-Eng</t>
  </si>
  <si>
    <t>1G-Ehw</t>
  </si>
  <si>
    <t>8F Carr</t>
  </si>
  <si>
    <t>2E-A&amp;C</t>
  </si>
  <si>
    <t>1G-Bang</t>
  </si>
  <si>
    <t xml:space="preserve">CLASS ROUTINE (SCHOOL) - 2026  </t>
  </si>
  <si>
    <t>THURSDAY</t>
  </si>
  <si>
    <t>2D-BHw</t>
  </si>
  <si>
    <t>2E-Ehw</t>
  </si>
  <si>
    <t>1B-EHw</t>
  </si>
  <si>
    <t>1G-BHw</t>
  </si>
  <si>
    <t>6E+F</t>
  </si>
  <si>
    <t>1G-BANG</t>
  </si>
  <si>
    <t>3C-BGS</t>
  </si>
  <si>
    <t>1B-Game</t>
  </si>
  <si>
    <t>6DLIB</t>
  </si>
  <si>
    <t>1F-Ehw</t>
  </si>
  <si>
    <t>2F-Game</t>
  </si>
  <si>
    <t>1F- Game</t>
  </si>
  <si>
    <t>3B-Game</t>
  </si>
  <si>
    <t>1A-EHw</t>
  </si>
  <si>
    <t>3G-BGS</t>
  </si>
  <si>
    <t>1D-Ehw</t>
  </si>
  <si>
    <t>Total Class</t>
  </si>
  <si>
    <t>SUN</t>
  </si>
  <si>
    <t>MON</t>
  </si>
  <si>
    <t>TUE</t>
  </si>
  <si>
    <t>WED</t>
  </si>
  <si>
    <t>THU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</si>
</sst>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9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sz val="10"/>
      <color rgb="FF002060"/>
      <name val="Calibri"/>
      <charset val="134"/>
      <scheme val="minor"/>
    </font>
    <font>
      <sz val="10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1"/>
      <color rgb="FF002060"/>
      <name val="Calibri"/>
      <charset val="134"/>
      <scheme val="minor"/>
    </font>
    <font>
      <sz val="11"/>
      <color rgb="FF000099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0"/>
      <color rgb="FFFFFF00"/>
      <name val="Calibri"/>
      <charset val="134"/>
      <scheme val="minor"/>
    </font>
    <font>
      <b/>
      <sz val="10"/>
      <color rgb="FF002060"/>
      <name val="Calibri"/>
      <charset val="134"/>
      <scheme val="minor"/>
    </font>
    <font>
      <sz val="11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sz val="11"/>
      <color theme="3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C00000"/>
      <name val="Calibri"/>
      <charset val="134"/>
      <scheme val="minor"/>
    </font>
    <font>
      <sz val="11"/>
      <color rgb="FFCC0099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8" borderId="11" applyNumberFormat="0" applyAlignment="0" applyProtection="0">
      <alignment vertical="center"/>
    </xf>
    <xf numFmtId="0" fontId="29" fillId="9" borderId="12" applyNumberFormat="0" applyAlignment="0" applyProtection="0">
      <alignment vertical="center"/>
    </xf>
    <xf numFmtId="0" fontId="30" fillId="9" borderId="11" applyNumberFormat="0" applyAlignment="0" applyProtection="0">
      <alignment vertical="center"/>
    </xf>
    <xf numFmtId="0" fontId="31" fillId="10" borderId="13" applyNumberFormat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</cellStyleXfs>
  <cellXfs count="8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1" fillId="0" borderId="1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5" fillId="0" borderId="0" xfId="0" applyFont="1"/>
    <xf numFmtId="0" fontId="0" fillId="3" borderId="0" xfId="0" applyFill="1"/>
    <xf numFmtId="0" fontId="9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/>
    </xf>
    <xf numFmtId="0" fontId="0" fillId="0" borderId="0" xfId="0" applyAlignment="1">
      <alignment vertical="center"/>
    </xf>
    <xf numFmtId="49" fontId="12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7" fillId="6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0" fillId="0" borderId="1" xfId="0" applyNumberFormat="1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" xfId="0" applyBorder="1"/>
    <xf numFmtId="0" fontId="0" fillId="0" borderId="1" xfId="0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2" fillId="0" borderId="0" xfId="0" applyFont="1"/>
    <xf numFmtId="0" fontId="3" fillId="0" borderId="7" xfId="0" applyFont="1" applyBorder="1" applyAlignment="1">
      <alignment horizontal="center"/>
    </xf>
    <xf numFmtId="0" fontId="7" fillId="2" borderId="1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0" fontId="14" fillId="3" borderId="0" xfId="0" applyFont="1" applyFill="1"/>
    <xf numFmtId="0" fontId="15" fillId="0" borderId="1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/>
    </xf>
    <xf numFmtId="49" fontId="12" fillId="0" borderId="5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0" xfId="0" applyFont="1"/>
    <xf numFmtId="0" fontId="0" fillId="3" borderId="0" xfId="0" applyFill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49" fontId="12" fillId="0" borderId="5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49" fontId="12" fillId="0" borderId="0" xfId="0" applyNumberFormat="1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inden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indent="1"/>
    </xf>
    <xf numFmtId="0" fontId="0" fillId="0" borderId="1" xfId="0" applyBorder="1" applyAlignment="1">
      <alignment horizontal="left" indent="1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indent="1"/>
    </xf>
    <xf numFmtId="0" fontId="7" fillId="0" borderId="1" xfId="0" applyFont="1" applyBorder="1" applyAlignment="1">
      <alignment horizontal="left" indent="1"/>
    </xf>
    <xf numFmtId="0" fontId="3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fill>
        <patternFill patternType="solid">
          <bgColor theme="0" tint="-0.249946592608417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B4C6E7"/>
        </patternFill>
      </fill>
    </dxf>
    <dxf>
      <fill>
        <patternFill patternType="solid">
          <bgColor theme="8" tint="0.599963377788629"/>
        </patternFill>
      </fill>
    </dxf>
  </dxfs>
  <tableStyles count="0" defaultTableStyle="TableStyleMedium2" defaultPivotStyle="PivotStyleLight16"/>
  <colors>
    <mruColors>
      <color rgb="00B4C6E7"/>
      <color rgb="00FFFF00"/>
      <color rgb="007AECA0"/>
      <color rgb="00CCFF66"/>
      <color rgb="0083E3C5"/>
      <color rgb="00CC00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0"/>
  <sheetViews>
    <sheetView zoomScale="144" zoomScaleNormal="144" workbookViewId="0">
      <pane xSplit="3" ySplit="4" topLeftCell="D50" activePane="bottomRight" state="frozen"/>
      <selection/>
      <selection pane="topRight"/>
      <selection pane="bottomLeft"/>
      <selection pane="bottomRight" activeCell="E52" sqref="E52"/>
    </sheetView>
  </sheetViews>
  <sheetFormatPr defaultColWidth="9" defaultRowHeight="14.5"/>
  <cols>
    <col min="1" max="1" width="7.42727272727273" style="71" customWidth="1"/>
    <col min="2" max="2" width="5" customWidth="1"/>
    <col min="3" max="3" width="6.42727272727273" style="43" customWidth="1"/>
    <col min="4" max="6" width="10.5727272727273" style="43" customWidth="1"/>
    <col min="7" max="7" width="10.5727272727273" style="72" customWidth="1"/>
    <col min="8" max="8" width="2.42727272727273" style="72" customWidth="1"/>
    <col min="9" max="9" width="10.5727272727273" style="72" customWidth="1"/>
    <col min="10" max="11" width="10.5727272727273" style="43" customWidth="1"/>
    <col min="12" max="12" width="5.57272727272727" style="43" customWidth="1"/>
    <col min="22" max="22" width="8.57272727272727" customWidth="1"/>
  </cols>
  <sheetData>
    <row r="1" ht="21.6" customHeight="1" spans="1:12">
      <c r="A1" s="73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ht="21.6" customHeight="1" spans="1:12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>
      <c r="A3" s="30" t="s">
        <v>2</v>
      </c>
      <c r="B3" s="74" t="s">
        <v>3</v>
      </c>
      <c r="C3" s="29" t="s">
        <v>4</v>
      </c>
      <c r="D3" s="30" t="s">
        <v>5</v>
      </c>
      <c r="E3" s="30" t="s">
        <v>6</v>
      </c>
      <c r="F3" s="30" t="s">
        <v>7</v>
      </c>
      <c r="G3" s="30" t="s">
        <v>8</v>
      </c>
      <c r="H3" s="30"/>
      <c r="I3" s="30" t="s">
        <v>9</v>
      </c>
      <c r="J3" s="30" t="s">
        <v>10</v>
      </c>
      <c r="K3" s="30" t="s">
        <v>11</v>
      </c>
      <c r="L3" s="38" t="s">
        <v>12</v>
      </c>
    </row>
    <row r="4" s="25" customFormat="1" ht="13" spans="1:12">
      <c r="A4" s="75" t="s">
        <v>2</v>
      </c>
      <c r="B4" s="76" t="s">
        <v>3</v>
      </c>
      <c r="C4" s="7" t="s">
        <v>4</v>
      </c>
      <c r="D4" s="31" t="s">
        <v>13</v>
      </c>
      <c r="E4" s="31" t="s">
        <v>14</v>
      </c>
      <c r="F4" s="31" t="s">
        <v>15</v>
      </c>
      <c r="G4" s="31" t="s">
        <v>16</v>
      </c>
      <c r="H4" s="32"/>
      <c r="I4" s="39" t="s">
        <v>17</v>
      </c>
      <c r="J4" s="39" t="s">
        <v>18</v>
      </c>
      <c r="K4" s="39" t="s">
        <v>19</v>
      </c>
      <c r="L4" s="38"/>
    </row>
    <row r="5" ht="15" customHeight="1" spans="1:12">
      <c r="A5" s="13" t="s">
        <v>20</v>
      </c>
      <c r="B5" s="77">
        <v>1</v>
      </c>
      <c r="C5" s="9" t="s">
        <v>21</v>
      </c>
      <c r="D5" s="36"/>
      <c r="E5" s="36" t="s">
        <v>22</v>
      </c>
      <c r="F5" s="36"/>
      <c r="G5" s="36" t="s">
        <v>23</v>
      </c>
      <c r="H5" s="36"/>
      <c r="I5" s="36"/>
      <c r="J5" s="36" t="s">
        <v>24</v>
      </c>
      <c r="K5" s="36"/>
      <c r="L5" s="9">
        <f t="shared" ref="L5:L68" si="0">COUNTIFS(D5:K5,"&gt;""")</f>
        <v>3</v>
      </c>
    </row>
    <row r="6" ht="15" customHeight="1" spans="1:12">
      <c r="A6" s="14"/>
      <c r="B6" s="77">
        <v>2</v>
      </c>
      <c r="C6" s="9" t="s">
        <v>25</v>
      </c>
      <c r="D6" s="78" t="s">
        <v>26</v>
      </c>
      <c r="E6" s="36" t="s">
        <v>27</v>
      </c>
      <c r="F6" s="36"/>
      <c r="G6" s="36" t="s">
        <v>28</v>
      </c>
      <c r="H6" s="36"/>
      <c r="I6" s="36" t="s">
        <v>29</v>
      </c>
      <c r="J6" s="36"/>
      <c r="K6" s="36"/>
      <c r="L6" s="9">
        <f t="shared" si="0"/>
        <v>4</v>
      </c>
    </row>
    <row r="7" ht="15" customHeight="1" spans="1:12">
      <c r="A7" s="14"/>
      <c r="B7" s="77">
        <v>3</v>
      </c>
      <c r="C7" s="9" t="s">
        <v>30</v>
      </c>
      <c r="D7" s="78"/>
      <c r="E7" s="36" t="s">
        <v>31</v>
      </c>
      <c r="F7" s="36" t="s">
        <v>32</v>
      </c>
      <c r="G7" s="36"/>
      <c r="H7" s="36"/>
      <c r="I7" s="36" t="s">
        <v>33</v>
      </c>
      <c r="J7" s="36" t="s">
        <v>34</v>
      </c>
      <c r="K7" s="36"/>
      <c r="L7" s="9">
        <f t="shared" si="0"/>
        <v>4</v>
      </c>
    </row>
    <row r="8" ht="15" customHeight="1" spans="1:12">
      <c r="A8" s="14"/>
      <c r="B8" s="77">
        <v>4</v>
      </c>
      <c r="C8" s="9" t="s">
        <v>35</v>
      </c>
      <c r="D8" s="78"/>
      <c r="E8" s="36" t="s">
        <v>36</v>
      </c>
      <c r="F8" s="36" t="s">
        <v>37</v>
      </c>
      <c r="G8" s="36"/>
      <c r="H8" s="36"/>
      <c r="I8" s="36" t="s">
        <v>38</v>
      </c>
      <c r="J8" s="36"/>
      <c r="K8" s="36"/>
      <c r="L8" s="9">
        <f t="shared" si="0"/>
        <v>3</v>
      </c>
    </row>
    <row r="9" ht="15" customHeight="1" spans="1:12">
      <c r="A9" s="14"/>
      <c r="B9" s="77">
        <v>5</v>
      </c>
      <c r="C9" s="9" t="s">
        <v>39</v>
      </c>
      <c r="D9" s="78"/>
      <c r="E9" s="36" t="s">
        <v>40</v>
      </c>
      <c r="F9" s="36"/>
      <c r="G9" s="36" t="s">
        <v>41</v>
      </c>
      <c r="H9" s="36"/>
      <c r="I9" s="36"/>
      <c r="J9" s="36"/>
      <c r="K9" s="36" t="s">
        <v>42</v>
      </c>
      <c r="L9" s="9">
        <f t="shared" si="0"/>
        <v>3</v>
      </c>
    </row>
    <row r="10" ht="15" customHeight="1" spans="1:12">
      <c r="A10" s="14"/>
      <c r="B10" s="77">
        <v>6</v>
      </c>
      <c r="C10" s="9" t="s">
        <v>43</v>
      </c>
      <c r="D10" s="78"/>
      <c r="E10" s="36"/>
      <c r="F10" s="36" t="s">
        <v>44</v>
      </c>
      <c r="G10" s="36"/>
      <c r="H10" s="36"/>
      <c r="I10" s="36" t="s">
        <v>45</v>
      </c>
      <c r="J10" s="68"/>
      <c r="K10" s="36"/>
      <c r="L10" s="9">
        <f t="shared" si="0"/>
        <v>2</v>
      </c>
    </row>
    <row r="11" ht="15" customHeight="1" spans="1:12">
      <c r="A11" s="14"/>
      <c r="B11" s="77">
        <v>7</v>
      </c>
      <c r="C11" s="9" t="s">
        <v>46</v>
      </c>
      <c r="D11" s="78" t="s">
        <v>41</v>
      </c>
      <c r="E11" s="36"/>
      <c r="F11" s="36" t="s">
        <v>47</v>
      </c>
      <c r="G11" s="36" t="s">
        <v>48</v>
      </c>
      <c r="H11" s="36"/>
      <c r="I11" s="36"/>
      <c r="J11" s="36" t="s">
        <v>49</v>
      </c>
      <c r="K11" s="36" t="s">
        <v>50</v>
      </c>
      <c r="L11" s="9">
        <f t="shared" si="0"/>
        <v>5</v>
      </c>
    </row>
    <row r="12" ht="15" customHeight="1" spans="1:12">
      <c r="A12" s="14"/>
      <c r="B12" s="77">
        <v>8</v>
      </c>
      <c r="C12" s="9" t="s">
        <v>51</v>
      </c>
      <c r="D12" s="78" t="s">
        <v>52</v>
      </c>
      <c r="E12" s="36"/>
      <c r="F12" s="36" t="s">
        <v>53</v>
      </c>
      <c r="G12" s="36" t="s">
        <v>54</v>
      </c>
      <c r="H12" s="36"/>
      <c r="I12" s="36"/>
      <c r="J12" s="36" t="s">
        <v>55</v>
      </c>
      <c r="K12" s="36" t="s">
        <v>56</v>
      </c>
      <c r="L12" s="9">
        <f t="shared" si="0"/>
        <v>5</v>
      </c>
    </row>
    <row r="13" ht="15" customHeight="1" spans="1:12">
      <c r="A13" s="14"/>
      <c r="B13" s="77">
        <v>9</v>
      </c>
      <c r="C13" s="9" t="s">
        <v>57</v>
      </c>
      <c r="D13" s="78" t="s">
        <v>58</v>
      </c>
      <c r="E13" s="36"/>
      <c r="F13" s="36" t="s">
        <v>59</v>
      </c>
      <c r="G13" s="36" t="s">
        <v>60</v>
      </c>
      <c r="H13" s="36"/>
      <c r="I13" s="36" t="s">
        <v>61</v>
      </c>
      <c r="J13" s="36"/>
      <c r="K13" s="36" t="s">
        <v>62</v>
      </c>
      <c r="L13" s="9">
        <f t="shared" si="0"/>
        <v>5</v>
      </c>
    </row>
    <row r="14" ht="15" customHeight="1" spans="1:12">
      <c r="A14" s="14"/>
      <c r="B14" s="77">
        <v>10</v>
      </c>
      <c r="C14" s="9" t="s">
        <v>63</v>
      </c>
      <c r="D14" s="78" t="s">
        <v>64</v>
      </c>
      <c r="E14" s="36"/>
      <c r="F14" s="36" t="s">
        <v>65</v>
      </c>
      <c r="G14" s="36" t="s">
        <v>66</v>
      </c>
      <c r="H14" s="36"/>
      <c r="I14" s="36"/>
      <c r="J14" s="36" t="s">
        <v>36</v>
      </c>
      <c r="K14" s="36" t="s">
        <v>67</v>
      </c>
      <c r="L14" s="9">
        <f t="shared" si="0"/>
        <v>5</v>
      </c>
    </row>
    <row r="15" ht="15" customHeight="1" spans="1:12">
      <c r="A15" s="14"/>
      <c r="B15" s="77">
        <v>11</v>
      </c>
      <c r="C15" s="9" t="s">
        <v>68</v>
      </c>
      <c r="D15" s="78"/>
      <c r="E15" s="36" t="s">
        <v>69</v>
      </c>
      <c r="F15" s="36"/>
      <c r="G15" s="36"/>
      <c r="H15" s="36"/>
      <c r="I15" s="36" t="s">
        <v>70</v>
      </c>
      <c r="J15" s="36" t="s">
        <v>71</v>
      </c>
      <c r="K15" s="36"/>
      <c r="L15" s="9">
        <f t="shared" si="0"/>
        <v>3</v>
      </c>
    </row>
    <row r="16" ht="15" customHeight="1" spans="1:12">
      <c r="A16" s="14"/>
      <c r="B16" s="77">
        <v>12</v>
      </c>
      <c r="C16" s="9" t="s">
        <v>72</v>
      </c>
      <c r="D16" s="78" t="s">
        <v>73</v>
      </c>
      <c r="E16" s="36"/>
      <c r="F16" s="36" t="s">
        <v>74</v>
      </c>
      <c r="G16" s="36"/>
      <c r="H16" s="36"/>
      <c r="I16" s="36" t="s">
        <v>75</v>
      </c>
      <c r="J16" s="36" t="s">
        <v>76</v>
      </c>
      <c r="K16" s="36"/>
      <c r="L16" s="9">
        <f t="shared" si="0"/>
        <v>4</v>
      </c>
    </row>
    <row r="17" ht="15" customHeight="1" spans="1:12">
      <c r="A17" s="14"/>
      <c r="B17" s="77">
        <v>13</v>
      </c>
      <c r="C17" s="9" t="s">
        <v>77</v>
      </c>
      <c r="D17" s="36" t="s">
        <v>48</v>
      </c>
      <c r="E17" s="36"/>
      <c r="F17" s="36" t="s">
        <v>29</v>
      </c>
      <c r="G17" s="36" t="s">
        <v>78</v>
      </c>
      <c r="H17" s="36"/>
      <c r="I17" s="36"/>
      <c r="J17" s="36"/>
      <c r="K17" s="36"/>
      <c r="L17" s="9">
        <f t="shared" si="0"/>
        <v>3</v>
      </c>
    </row>
    <row r="18" ht="15" customHeight="1" spans="1:12">
      <c r="A18" s="14"/>
      <c r="B18" s="77">
        <v>14</v>
      </c>
      <c r="C18" s="9" t="s">
        <v>79</v>
      </c>
      <c r="D18" s="78"/>
      <c r="E18" s="36" t="s">
        <v>80</v>
      </c>
      <c r="F18" s="36"/>
      <c r="G18" s="36" t="s">
        <v>81</v>
      </c>
      <c r="H18" s="36"/>
      <c r="I18" s="36" t="s">
        <v>82</v>
      </c>
      <c r="J18" s="36"/>
      <c r="K18" s="36" t="s">
        <v>37</v>
      </c>
      <c r="L18" s="9">
        <f t="shared" si="0"/>
        <v>4</v>
      </c>
    </row>
    <row r="19" ht="15" customHeight="1" spans="1:12">
      <c r="A19" s="14"/>
      <c r="B19" s="77">
        <v>15</v>
      </c>
      <c r="C19" s="10" t="s">
        <v>83</v>
      </c>
      <c r="D19" s="78"/>
      <c r="E19" s="36" t="s">
        <v>84</v>
      </c>
      <c r="F19" s="36" t="s">
        <v>85</v>
      </c>
      <c r="G19" s="36"/>
      <c r="H19" s="36"/>
      <c r="I19" s="36" t="s">
        <v>86</v>
      </c>
      <c r="J19" s="36"/>
      <c r="K19" s="36" t="s">
        <v>87</v>
      </c>
      <c r="L19" s="9">
        <f t="shared" si="0"/>
        <v>4</v>
      </c>
    </row>
    <row r="20" ht="15" customHeight="1" spans="1:12">
      <c r="A20" s="15"/>
      <c r="B20" s="77">
        <v>16</v>
      </c>
      <c r="C20" s="10" t="s">
        <v>88</v>
      </c>
      <c r="D20" s="36" t="s">
        <v>89</v>
      </c>
      <c r="E20" s="36"/>
      <c r="F20" s="36" t="s">
        <v>90</v>
      </c>
      <c r="G20" s="36"/>
      <c r="H20" s="36"/>
      <c r="I20" s="36" t="s">
        <v>91</v>
      </c>
      <c r="J20" s="36" t="s">
        <v>92</v>
      </c>
      <c r="K20" s="36"/>
      <c r="L20" s="9">
        <f t="shared" si="0"/>
        <v>4</v>
      </c>
    </row>
    <row r="21" ht="15" customHeight="1" spans="1:12">
      <c r="A21" s="13" t="s">
        <v>93</v>
      </c>
      <c r="B21" s="77">
        <v>1</v>
      </c>
      <c r="C21" s="9" t="s">
        <v>94</v>
      </c>
      <c r="D21" s="36" t="s">
        <v>22</v>
      </c>
      <c r="E21" s="36"/>
      <c r="F21" s="36" t="s">
        <v>80</v>
      </c>
      <c r="G21" s="36"/>
      <c r="H21" s="36"/>
      <c r="I21" s="36" t="s">
        <v>89</v>
      </c>
      <c r="J21" s="36" t="s">
        <v>23</v>
      </c>
      <c r="K21" s="36"/>
      <c r="L21" s="9">
        <f t="shared" si="0"/>
        <v>4</v>
      </c>
    </row>
    <row r="22" ht="15" customHeight="1" spans="1:12">
      <c r="A22" s="14"/>
      <c r="B22" s="77">
        <v>2</v>
      </c>
      <c r="C22" s="9" t="s">
        <v>95</v>
      </c>
      <c r="D22" s="36" t="s">
        <v>85</v>
      </c>
      <c r="E22" s="36"/>
      <c r="F22" s="36" t="s">
        <v>41</v>
      </c>
      <c r="G22" s="36" t="s">
        <v>73</v>
      </c>
      <c r="H22" s="36"/>
      <c r="I22" s="36"/>
      <c r="J22" s="36" t="s">
        <v>28</v>
      </c>
      <c r="K22" s="36"/>
      <c r="L22" s="9">
        <f t="shared" si="0"/>
        <v>4</v>
      </c>
    </row>
    <row r="23" ht="15" customHeight="1" spans="1:12">
      <c r="A23" s="14"/>
      <c r="B23" s="77">
        <v>3</v>
      </c>
      <c r="C23" s="9" t="s">
        <v>96</v>
      </c>
      <c r="D23" s="36" t="s">
        <v>97</v>
      </c>
      <c r="E23" s="36" t="s">
        <v>56</v>
      </c>
      <c r="F23" s="36"/>
      <c r="G23" s="36" t="s">
        <v>53</v>
      </c>
      <c r="H23" s="36"/>
      <c r="I23" s="36" t="s">
        <v>32</v>
      </c>
      <c r="J23" s="36"/>
      <c r="K23" s="36" t="s">
        <v>58</v>
      </c>
      <c r="L23" s="9">
        <f t="shared" si="0"/>
        <v>5</v>
      </c>
    </row>
    <row r="24" ht="15" customHeight="1" spans="1:12">
      <c r="A24" s="14"/>
      <c r="B24" s="77">
        <v>4</v>
      </c>
      <c r="C24" s="9" t="s">
        <v>98</v>
      </c>
      <c r="D24" s="36" t="s">
        <v>59</v>
      </c>
      <c r="E24" s="36" t="s">
        <v>34</v>
      </c>
      <c r="F24" s="36"/>
      <c r="G24" s="36" t="s">
        <v>71</v>
      </c>
      <c r="H24" s="36"/>
      <c r="I24" s="36" t="s">
        <v>27</v>
      </c>
      <c r="J24" s="36"/>
      <c r="K24" s="36"/>
      <c r="L24" s="9">
        <f t="shared" si="0"/>
        <v>4</v>
      </c>
    </row>
    <row r="25" s="48" customFormat="1" ht="15" customHeight="1" spans="1:12">
      <c r="A25" s="14"/>
      <c r="B25" s="79">
        <v>5</v>
      </c>
      <c r="C25" s="9" t="s">
        <v>99</v>
      </c>
      <c r="D25" s="36" t="s">
        <v>50</v>
      </c>
      <c r="E25" s="36"/>
      <c r="F25" s="36" t="s">
        <v>100</v>
      </c>
      <c r="G25" s="36"/>
      <c r="H25" s="36"/>
      <c r="I25" s="36"/>
      <c r="J25" s="36" t="s">
        <v>59</v>
      </c>
      <c r="K25" s="36" t="s">
        <v>48</v>
      </c>
      <c r="L25" s="9">
        <f t="shared" si="0"/>
        <v>4</v>
      </c>
    </row>
    <row r="26" ht="15" customHeight="1" spans="1:12">
      <c r="A26" s="14"/>
      <c r="B26" s="77">
        <v>6</v>
      </c>
      <c r="C26" s="9" t="s">
        <v>101</v>
      </c>
      <c r="D26" s="36" t="s">
        <v>74</v>
      </c>
      <c r="E26" s="36" t="s">
        <v>66</v>
      </c>
      <c r="F26" s="36"/>
      <c r="G26" s="36"/>
      <c r="H26" s="36"/>
      <c r="I26" s="36" t="s">
        <v>56</v>
      </c>
      <c r="J26" s="36" t="s">
        <v>54</v>
      </c>
      <c r="K26" s="36"/>
      <c r="L26" s="9">
        <f t="shared" si="0"/>
        <v>4</v>
      </c>
    </row>
    <row r="27" ht="15" customHeight="1" spans="1:12">
      <c r="A27" s="14"/>
      <c r="B27" s="77">
        <v>7</v>
      </c>
      <c r="C27" s="9" t="s">
        <v>102</v>
      </c>
      <c r="D27" s="36" t="s">
        <v>90</v>
      </c>
      <c r="E27" s="36" t="s">
        <v>44</v>
      </c>
      <c r="F27" s="36"/>
      <c r="G27" s="36" t="s">
        <v>24</v>
      </c>
      <c r="H27" s="36"/>
      <c r="I27" s="36" t="s">
        <v>49</v>
      </c>
      <c r="J27" s="36"/>
      <c r="K27" s="36" t="s">
        <v>40</v>
      </c>
      <c r="L27" s="9">
        <f t="shared" si="0"/>
        <v>5</v>
      </c>
    </row>
    <row r="28" ht="15" customHeight="1" spans="1:12">
      <c r="A28" s="14"/>
      <c r="B28" s="77">
        <v>8</v>
      </c>
      <c r="C28" s="9" t="s">
        <v>103</v>
      </c>
      <c r="D28" s="36"/>
      <c r="E28" s="36" t="s">
        <v>104</v>
      </c>
      <c r="F28" s="36"/>
      <c r="G28" s="36" t="s">
        <v>64</v>
      </c>
      <c r="H28" s="36"/>
      <c r="I28" s="36"/>
      <c r="J28" s="36" t="s">
        <v>48</v>
      </c>
      <c r="K28" s="36" t="s">
        <v>38</v>
      </c>
      <c r="L28" s="9">
        <f t="shared" si="0"/>
        <v>4</v>
      </c>
    </row>
    <row r="29" ht="15" customHeight="1" spans="1:12">
      <c r="A29" s="14"/>
      <c r="B29" s="77">
        <v>9</v>
      </c>
      <c r="C29" s="9" t="s">
        <v>105</v>
      </c>
      <c r="D29" s="36" t="s">
        <v>37</v>
      </c>
      <c r="E29" s="36"/>
      <c r="F29" s="36" t="s">
        <v>38</v>
      </c>
      <c r="G29" s="36" t="s">
        <v>65</v>
      </c>
      <c r="H29" s="36"/>
      <c r="I29" s="36"/>
      <c r="J29" s="33" t="s">
        <v>86</v>
      </c>
      <c r="K29" s="36"/>
      <c r="L29" s="9">
        <f t="shared" si="0"/>
        <v>4</v>
      </c>
    </row>
    <row r="30" ht="15" customHeight="1" spans="1:12">
      <c r="A30" s="14"/>
      <c r="B30" s="77">
        <v>10</v>
      </c>
      <c r="C30" s="9" t="s">
        <v>106</v>
      </c>
      <c r="D30" s="36" t="s">
        <v>75</v>
      </c>
      <c r="E30" s="36"/>
      <c r="F30" s="36" t="s">
        <v>107</v>
      </c>
      <c r="G30" s="36" t="s">
        <v>29</v>
      </c>
      <c r="H30" s="36"/>
      <c r="I30" s="36"/>
      <c r="J30" s="36" t="s">
        <v>108</v>
      </c>
      <c r="K30" s="36" t="s">
        <v>24</v>
      </c>
      <c r="L30" s="9">
        <f t="shared" si="0"/>
        <v>5</v>
      </c>
    </row>
    <row r="31" ht="15" customHeight="1" spans="1:12">
      <c r="A31" s="14"/>
      <c r="B31" s="77">
        <v>11</v>
      </c>
      <c r="C31" s="9" t="s">
        <v>109</v>
      </c>
      <c r="D31" s="36" t="s">
        <v>78</v>
      </c>
      <c r="E31" s="36" t="s">
        <v>52</v>
      </c>
      <c r="F31" s="36"/>
      <c r="G31" s="43" t="s">
        <v>55</v>
      </c>
      <c r="H31" s="36"/>
      <c r="I31" s="36"/>
      <c r="J31" s="36" t="s">
        <v>60</v>
      </c>
      <c r="K31" s="36"/>
      <c r="L31" s="9">
        <f t="shared" si="0"/>
        <v>4</v>
      </c>
    </row>
    <row r="32" ht="15" customHeight="1" spans="1:12">
      <c r="A32" s="14"/>
      <c r="B32" s="77">
        <v>12</v>
      </c>
      <c r="C32" s="9" t="s">
        <v>110</v>
      </c>
      <c r="D32" s="36" t="s">
        <v>31</v>
      </c>
      <c r="E32" s="36" t="s">
        <v>81</v>
      </c>
      <c r="F32" s="36"/>
      <c r="G32" s="36" t="s">
        <v>111</v>
      </c>
      <c r="H32" s="36"/>
      <c r="I32" s="36"/>
      <c r="J32" s="36" t="s">
        <v>112</v>
      </c>
      <c r="K32" s="36"/>
      <c r="L32" s="9">
        <f t="shared" si="0"/>
        <v>4</v>
      </c>
    </row>
    <row r="33" ht="15" customHeight="1" spans="1:12">
      <c r="A33" s="14"/>
      <c r="B33" s="77">
        <v>13</v>
      </c>
      <c r="C33" s="9" t="s">
        <v>113</v>
      </c>
      <c r="D33" s="36" t="s">
        <v>33</v>
      </c>
      <c r="E33" s="36" t="s">
        <v>45</v>
      </c>
      <c r="F33" s="36"/>
      <c r="G33" s="36"/>
      <c r="H33" s="36"/>
      <c r="I33" s="36" t="s">
        <v>114</v>
      </c>
      <c r="J33" s="36"/>
      <c r="K33" s="36" t="s">
        <v>115</v>
      </c>
      <c r="L33" s="9">
        <f t="shared" si="0"/>
        <v>4</v>
      </c>
    </row>
    <row r="34" ht="15" customHeight="1" spans="1:12">
      <c r="A34" s="14"/>
      <c r="B34" s="77">
        <v>14</v>
      </c>
      <c r="C34" s="9" t="s">
        <v>116</v>
      </c>
      <c r="D34" s="36" t="s">
        <v>47</v>
      </c>
      <c r="E34" s="36"/>
      <c r="F34" s="36" t="s">
        <v>42</v>
      </c>
      <c r="G34" s="36"/>
      <c r="H34" s="36"/>
      <c r="I34" s="43" t="s">
        <v>87</v>
      </c>
      <c r="J34" s="36"/>
      <c r="K34" s="36" t="s">
        <v>36</v>
      </c>
      <c r="L34" s="9">
        <f t="shared" si="0"/>
        <v>4</v>
      </c>
    </row>
    <row r="35" ht="15" customHeight="1" spans="1:12">
      <c r="A35" s="14"/>
      <c r="B35" s="77">
        <v>15</v>
      </c>
      <c r="C35" s="10" t="s">
        <v>117</v>
      </c>
      <c r="D35" s="36"/>
      <c r="E35" s="36" t="s">
        <v>114</v>
      </c>
      <c r="F35" s="36"/>
      <c r="G35" s="36" t="s">
        <v>84</v>
      </c>
      <c r="H35" s="36"/>
      <c r="I35" s="36" t="s">
        <v>41</v>
      </c>
      <c r="J35" s="36"/>
      <c r="K35" s="36" t="s">
        <v>118</v>
      </c>
      <c r="L35" s="9">
        <f t="shared" si="0"/>
        <v>4</v>
      </c>
    </row>
    <row r="36" ht="15" customHeight="1" spans="1:12">
      <c r="A36" s="15"/>
      <c r="B36" s="77">
        <v>16</v>
      </c>
      <c r="C36" s="10" t="s">
        <v>119</v>
      </c>
      <c r="D36" s="36"/>
      <c r="E36" s="36" t="s">
        <v>120</v>
      </c>
      <c r="F36" s="36" t="s">
        <v>36</v>
      </c>
      <c r="G36" s="36"/>
      <c r="H36" s="36"/>
      <c r="I36" s="36"/>
      <c r="J36" s="36" t="s">
        <v>82</v>
      </c>
      <c r="K36" s="36" t="s">
        <v>121</v>
      </c>
      <c r="L36" s="9">
        <f t="shared" si="0"/>
        <v>4</v>
      </c>
    </row>
    <row r="37" ht="15" customHeight="1" spans="1:12">
      <c r="A37" s="13" t="s">
        <v>122</v>
      </c>
      <c r="B37" s="80">
        <v>1</v>
      </c>
      <c r="C37" s="9" t="s">
        <v>123</v>
      </c>
      <c r="D37" s="36"/>
      <c r="E37" s="36"/>
      <c r="F37" s="36"/>
      <c r="G37" s="36" t="s">
        <v>22</v>
      </c>
      <c r="H37" s="36"/>
      <c r="I37" s="36"/>
      <c r="J37" s="36"/>
      <c r="K37" s="36"/>
      <c r="L37" s="9">
        <f t="shared" si="0"/>
        <v>1</v>
      </c>
    </row>
    <row r="38" ht="15" customHeight="1" spans="1:12">
      <c r="A38" s="14"/>
      <c r="B38" s="80">
        <v>2</v>
      </c>
      <c r="C38" s="9" t="s">
        <v>124</v>
      </c>
      <c r="D38" s="36" t="s">
        <v>66</v>
      </c>
      <c r="E38" s="36"/>
      <c r="F38" s="36" t="s">
        <v>64</v>
      </c>
      <c r="G38" s="36"/>
      <c r="H38" s="36"/>
      <c r="I38" s="36" t="s">
        <v>26</v>
      </c>
      <c r="J38" s="36" t="s">
        <v>22</v>
      </c>
      <c r="K38" s="36"/>
      <c r="L38" s="9">
        <f t="shared" si="0"/>
        <v>4</v>
      </c>
    </row>
    <row r="39" ht="15" customHeight="1" spans="1:12">
      <c r="A39" s="14"/>
      <c r="B39" s="80">
        <v>3</v>
      </c>
      <c r="C39" s="9" t="s">
        <v>125</v>
      </c>
      <c r="D39" s="43" t="s">
        <v>121</v>
      </c>
      <c r="E39" s="36"/>
      <c r="F39" s="36" t="s">
        <v>55</v>
      </c>
      <c r="G39" s="36" t="s">
        <v>27</v>
      </c>
      <c r="H39" s="36"/>
      <c r="I39" s="36"/>
      <c r="J39" s="36" t="s">
        <v>66</v>
      </c>
      <c r="K39" s="36"/>
      <c r="L39" s="9">
        <f t="shared" si="0"/>
        <v>4</v>
      </c>
    </row>
    <row r="40" ht="15" customHeight="1" spans="1:12">
      <c r="A40" s="14"/>
      <c r="B40" s="80">
        <v>4</v>
      </c>
      <c r="C40" s="9" t="s">
        <v>126</v>
      </c>
      <c r="D40" s="36" t="s">
        <v>32</v>
      </c>
      <c r="E40" s="36"/>
      <c r="F40" s="36" t="s">
        <v>23</v>
      </c>
      <c r="G40" s="36"/>
      <c r="H40" s="36"/>
      <c r="I40" s="36" t="s">
        <v>73</v>
      </c>
      <c r="J40" s="36"/>
      <c r="K40" s="36" t="s">
        <v>69</v>
      </c>
      <c r="L40" s="9">
        <f t="shared" si="0"/>
        <v>4</v>
      </c>
    </row>
    <row r="41" ht="15" customHeight="1" spans="1:12">
      <c r="A41" s="14"/>
      <c r="B41" s="80">
        <v>5</v>
      </c>
      <c r="C41" s="9" t="s">
        <v>127</v>
      </c>
      <c r="D41" s="36" t="s">
        <v>60</v>
      </c>
      <c r="E41" s="36"/>
      <c r="F41" s="36" t="s">
        <v>73</v>
      </c>
      <c r="G41" s="36"/>
      <c r="H41" s="36"/>
      <c r="I41" s="36" t="s">
        <v>34</v>
      </c>
      <c r="J41" s="36" t="s">
        <v>58</v>
      </c>
      <c r="K41" s="36"/>
      <c r="L41" s="9">
        <f t="shared" si="0"/>
        <v>4</v>
      </c>
    </row>
    <row r="42" ht="15" customHeight="1" spans="1:12">
      <c r="A42" s="14"/>
      <c r="B42" s="80">
        <v>6</v>
      </c>
      <c r="C42" s="9" t="s">
        <v>128</v>
      </c>
      <c r="D42" s="36" t="s">
        <v>129</v>
      </c>
      <c r="E42" s="36"/>
      <c r="F42" s="36"/>
      <c r="G42" s="36" t="s">
        <v>45</v>
      </c>
      <c r="H42" s="36"/>
      <c r="I42" s="36" t="s">
        <v>42</v>
      </c>
      <c r="J42" s="36"/>
      <c r="K42" s="36" t="s">
        <v>114</v>
      </c>
      <c r="L42" s="9">
        <f t="shared" si="0"/>
        <v>4</v>
      </c>
    </row>
    <row r="43" ht="15" customHeight="1" spans="1:12">
      <c r="A43" s="14"/>
      <c r="B43" s="80">
        <v>7</v>
      </c>
      <c r="C43" s="9" t="s">
        <v>130</v>
      </c>
      <c r="D43" s="36" t="s">
        <v>49</v>
      </c>
      <c r="E43" s="36"/>
      <c r="F43" s="36" t="s">
        <v>34</v>
      </c>
      <c r="G43" s="36"/>
      <c r="H43" s="36"/>
      <c r="I43" s="36" t="s">
        <v>44</v>
      </c>
      <c r="J43" s="36" t="s">
        <v>31</v>
      </c>
      <c r="K43" s="36"/>
      <c r="L43" s="9">
        <f t="shared" si="0"/>
        <v>4</v>
      </c>
    </row>
    <row r="44" ht="15" customHeight="1" spans="1:12">
      <c r="A44" s="14"/>
      <c r="B44" s="80">
        <v>8</v>
      </c>
      <c r="C44" s="9" t="s">
        <v>131</v>
      </c>
      <c r="D44" s="36"/>
      <c r="E44" s="36" t="s">
        <v>132</v>
      </c>
      <c r="F44" s="36" t="s">
        <v>120</v>
      </c>
      <c r="G44" s="36"/>
      <c r="H44" s="36"/>
      <c r="I44" s="36" t="s">
        <v>108</v>
      </c>
      <c r="J44" s="36"/>
      <c r="K44" s="36" t="s">
        <v>112</v>
      </c>
      <c r="L44" s="9">
        <f t="shared" si="0"/>
        <v>4</v>
      </c>
    </row>
    <row r="45" ht="15" customHeight="1" spans="1:12">
      <c r="A45" s="14"/>
      <c r="B45" s="80">
        <v>9</v>
      </c>
      <c r="C45" s="9" t="s">
        <v>133</v>
      </c>
      <c r="D45" s="36"/>
      <c r="E45" s="36" t="s">
        <v>71</v>
      </c>
      <c r="F45" s="36" t="s">
        <v>33</v>
      </c>
      <c r="G45" s="33"/>
      <c r="H45" s="36"/>
      <c r="I45" s="36" t="s">
        <v>65</v>
      </c>
      <c r="J45" s="36" t="s">
        <v>26</v>
      </c>
      <c r="K45" s="36"/>
      <c r="L45" s="9">
        <f t="shared" si="0"/>
        <v>4</v>
      </c>
    </row>
    <row r="46" ht="15" customHeight="1" spans="1:12">
      <c r="A46" s="14"/>
      <c r="B46" s="80">
        <v>10</v>
      </c>
      <c r="C46" s="9" t="s">
        <v>134</v>
      </c>
      <c r="D46" s="36" t="s">
        <v>135</v>
      </c>
      <c r="E46" s="36"/>
      <c r="F46" s="36" t="s">
        <v>78</v>
      </c>
      <c r="G46" s="36" t="s">
        <v>44</v>
      </c>
      <c r="H46" s="36"/>
      <c r="I46" s="36"/>
      <c r="J46" s="36" t="s">
        <v>37</v>
      </c>
      <c r="K46" s="36" t="s">
        <v>29</v>
      </c>
      <c r="L46" s="9">
        <f t="shared" si="0"/>
        <v>5</v>
      </c>
    </row>
    <row r="47" ht="15" customHeight="1" spans="1:12">
      <c r="A47" s="14"/>
      <c r="B47" s="80">
        <v>11</v>
      </c>
      <c r="C47" s="9" t="s">
        <v>136</v>
      </c>
      <c r="D47" s="36" t="s">
        <v>28</v>
      </c>
      <c r="E47" s="36" t="s">
        <v>90</v>
      </c>
      <c r="F47" s="36"/>
      <c r="G47" s="36" t="s">
        <v>50</v>
      </c>
      <c r="H47" s="36"/>
      <c r="I47" s="36"/>
      <c r="J47" s="36" t="s">
        <v>38</v>
      </c>
      <c r="K47" s="36"/>
      <c r="L47" s="9">
        <f t="shared" si="0"/>
        <v>4</v>
      </c>
    </row>
    <row r="48" ht="15" customHeight="1" spans="1:12">
      <c r="A48" s="14"/>
      <c r="B48" s="80">
        <v>12</v>
      </c>
      <c r="C48" s="9" t="s">
        <v>137</v>
      </c>
      <c r="D48" s="36" t="s">
        <v>81</v>
      </c>
      <c r="E48" s="36"/>
      <c r="F48" s="36" t="s">
        <v>54</v>
      </c>
      <c r="G48" s="36" t="s">
        <v>56</v>
      </c>
      <c r="H48" s="36"/>
      <c r="I48" s="36" t="s">
        <v>48</v>
      </c>
      <c r="J48" s="36"/>
      <c r="K48" s="36" t="s">
        <v>138</v>
      </c>
      <c r="L48" s="9">
        <f t="shared" si="0"/>
        <v>5</v>
      </c>
    </row>
    <row r="49" ht="15" customHeight="1" spans="1:12">
      <c r="A49" s="14"/>
      <c r="B49" s="80">
        <v>13</v>
      </c>
      <c r="C49" s="9" t="s">
        <v>139</v>
      </c>
      <c r="D49" s="36" t="s">
        <v>69</v>
      </c>
      <c r="E49" s="36" t="s">
        <v>53</v>
      </c>
      <c r="F49" s="36"/>
      <c r="G49" s="36"/>
      <c r="H49" s="36"/>
      <c r="I49" s="36" t="s">
        <v>85</v>
      </c>
      <c r="J49" s="36" t="s">
        <v>140</v>
      </c>
      <c r="K49" s="36"/>
      <c r="L49" s="9">
        <f t="shared" si="0"/>
        <v>4</v>
      </c>
    </row>
    <row r="50" ht="15" customHeight="1" spans="1:12">
      <c r="A50" s="14"/>
      <c r="B50" s="80">
        <v>14</v>
      </c>
      <c r="C50" s="9" t="s">
        <v>141</v>
      </c>
      <c r="D50" s="36"/>
      <c r="E50" s="36" t="s">
        <v>75</v>
      </c>
      <c r="F50" s="36"/>
      <c r="G50" s="36" t="s">
        <v>89</v>
      </c>
      <c r="H50" s="36"/>
      <c r="I50" s="36" t="s">
        <v>59</v>
      </c>
      <c r="J50" s="36"/>
      <c r="K50" s="36" t="s">
        <v>76</v>
      </c>
      <c r="L50" s="9">
        <f t="shared" si="0"/>
        <v>4</v>
      </c>
    </row>
    <row r="51" ht="15" customHeight="1" spans="1:12">
      <c r="A51" s="14"/>
      <c r="B51" s="80">
        <v>15</v>
      </c>
      <c r="C51" s="9" t="s">
        <v>142</v>
      </c>
      <c r="D51" s="36" t="s">
        <v>36</v>
      </c>
      <c r="E51" s="36"/>
      <c r="F51" s="36" t="s">
        <v>24</v>
      </c>
      <c r="G51" s="36"/>
      <c r="H51" s="36"/>
      <c r="I51" s="36"/>
      <c r="J51" s="36"/>
      <c r="K51" s="36" t="s">
        <v>91</v>
      </c>
      <c r="L51" s="9">
        <f t="shared" si="0"/>
        <v>3</v>
      </c>
    </row>
    <row r="52" ht="15" customHeight="1" spans="1:12">
      <c r="A52" s="15"/>
      <c r="B52" s="80">
        <v>16</v>
      </c>
      <c r="C52" s="9" t="s">
        <v>143</v>
      </c>
      <c r="D52" s="36" t="s">
        <v>111</v>
      </c>
      <c r="E52" s="36"/>
      <c r="F52" s="36" t="s">
        <v>144</v>
      </c>
      <c r="G52" s="36" t="s">
        <v>47</v>
      </c>
      <c r="H52" s="36"/>
      <c r="I52" s="36" t="s">
        <v>62</v>
      </c>
      <c r="J52" s="36"/>
      <c r="K52" s="36" t="s">
        <v>92</v>
      </c>
      <c r="L52" s="9">
        <f t="shared" si="0"/>
        <v>5</v>
      </c>
    </row>
    <row r="53" ht="15" customHeight="1" spans="1:12">
      <c r="A53" s="17" t="s">
        <v>145</v>
      </c>
      <c r="B53" s="77">
        <v>1</v>
      </c>
      <c r="C53" s="10" t="s">
        <v>146</v>
      </c>
      <c r="D53" s="36"/>
      <c r="E53" s="36" t="s">
        <v>26</v>
      </c>
      <c r="F53" s="36"/>
      <c r="G53" s="36" t="s">
        <v>37</v>
      </c>
      <c r="H53" s="36"/>
      <c r="I53" s="36" t="s">
        <v>69</v>
      </c>
      <c r="J53" s="36"/>
      <c r="K53" s="36"/>
      <c r="L53" s="9">
        <f t="shared" si="0"/>
        <v>3</v>
      </c>
    </row>
    <row r="54" ht="15" customHeight="1" spans="1:12">
      <c r="A54" s="13" t="s">
        <v>147</v>
      </c>
      <c r="B54" s="77">
        <v>2</v>
      </c>
      <c r="C54" s="10" t="s">
        <v>148</v>
      </c>
      <c r="D54" s="36" t="s">
        <v>55</v>
      </c>
      <c r="E54" s="36"/>
      <c r="F54" s="43" t="s">
        <v>66</v>
      </c>
      <c r="G54" s="36"/>
      <c r="H54" s="36"/>
      <c r="I54" s="36"/>
      <c r="J54" s="36" t="s">
        <v>81</v>
      </c>
      <c r="K54" s="36"/>
      <c r="L54" s="9">
        <f t="shared" si="0"/>
        <v>3</v>
      </c>
    </row>
    <row r="55" ht="15" customHeight="1" spans="1:12">
      <c r="A55" s="14"/>
      <c r="B55" s="77">
        <v>3</v>
      </c>
      <c r="C55" s="10" t="s">
        <v>149</v>
      </c>
      <c r="D55" s="36" t="s">
        <v>27</v>
      </c>
      <c r="E55" s="36" t="s">
        <v>129</v>
      </c>
      <c r="F55" s="36"/>
      <c r="G55" s="36" t="s">
        <v>31</v>
      </c>
      <c r="H55" s="36"/>
      <c r="I55" s="36" t="s">
        <v>58</v>
      </c>
      <c r="J55" s="36"/>
      <c r="K55" s="36"/>
      <c r="L55" s="9">
        <f t="shared" si="0"/>
        <v>4</v>
      </c>
    </row>
    <row r="56" ht="15" customHeight="1" spans="1:12">
      <c r="A56" s="15"/>
      <c r="B56" s="77">
        <v>4</v>
      </c>
      <c r="C56" s="10" t="s">
        <v>150</v>
      </c>
      <c r="D56" s="36" t="s">
        <v>120</v>
      </c>
      <c r="E56" s="36"/>
      <c r="F56" s="36" t="s">
        <v>48</v>
      </c>
      <c r="G56" s="36" t="s">
        <v>33</v>
      </c>
      <c r="H56" s="36"/>
      <c r="I56" s="36"/>
      <c r="J56" s="36" t="s">
        <v>80</v>
      </c>
      <c r="K56" s="36"/>
      <c r="L56" s="9">
        <f t="shared" si="0"/>
        <v>4</v>
      </c>
    </row>
    <row r="57" ht="15" customHeight="1" spans="1:12">
      <c r="A57" s="13" t="s">
        <v>151</v>
      </c>
      <c r="B57" s="77">
        <v>5</v>
      </c>
      <c r="C57" s="10" t="s">
        <v>152</v>
      </c>
      <c r="D57" s="36"/>
      <c r="E57" s="36" t="s">
        <v>78</v>
      </c>
      <c r="F57" s="36"/>
      <c r="G57" s="36" t="s">
        <v>121</v>
      </c>
      <c r="H57" s="36"/>
      <c r="I57" s="36" t="s">
        <v>22</v>
      </c>
      <c r="J57" s="36"/>
      <c r="K57" s="33" t="s">
        <v>64</v>
      </c>
      <c r="L57" s="9">
        <f t="shared" si="0"/>
        <v>4</v>
      </c>
    </row>
    <row r="58" ht="15" customHeight="1" spans="1:12">
      <c r="A58" s="14"/>
      <c r="B58" s="77">
        <v>6</v>
      </c>
      <c r="C58" s="10" t="s">
        <v>153</v>
      </c>
      <c r="D58" s="36"/>
      <c r="E58" s="36" t="s">
        <v>111</v>
      </c>
      <c r="F58" s="36" t="s">
        <v>26</v>
      </c>
      <c r="G58" s="36"/>
      <c r="H58" s="36"/>
      <c r="I58" s="36" t="s">
        <v>66</v>
      </c>
      <c r="J58" s="36" t="s">
        <v>89</v>
      </c>
      <c r="K58" s="36"/>
      <c r="L58" s="9">
        <f t="shared" si="0"/>
        <v>4</v>
      </c>
    </row>
    <row r="59" ht="15" customHeight="1" spans="1:12">
      <c r="A59" s="14"/>
      <c r="B59" s="77">
        <v>7</v>
      </c>
      <c r="C59" s="10" t="s">
        <v>154</v>
      </c>
      <c r="D59" s="36" t="s">
        <v>23</v>
      </c>
      <c r="E59" s="36"/>
      <c r="F59" s="36" t="s">
        <v>58</v>
      </c>
      <c r="G59" s="36" t="s">
        <v>34</v>
      </c>
      <c r="H59" s="36"/>
      <c r="I59" s="36"/>
      <c r="J59" s="36" t="s">
        <v>50</v>
      </c>
      <c r="K59" s="36"/>
      <c r="L59" s="9">
        <f t="shared" si="0"/>
        <v>4</v>
      </c>
    </row>
    <row r="60" ht="15" customHeight="1" spans="1:12">
      <c r="A60" s="14"/>
      <c r="B60" s="77">
        <v>8</v>
      </c>
      <c r="C60" s="10" t="s">
        <v>155</v>
      </c>
      <c r="D60" s="36" t="s">
        <v>144</v>
      </c>
      <c r="E60" s="36" t="s">
        <v>97</v>
      </c>
      <c r="F60" s="36"/>
      <c r="G60" s="36" t="s">
        <v>114</v>
      </c>
      <c r="H60" s="36"/>
      <c r="I60" s="36"/>
      <c r="J60" s="33" t="s">
        <v>44</v>
      </c>
      <c r="K60" s="36" t="s">
        <v>59</v>
      </c>
      <c r="L60" s="9">
        <f t="shared" si="0"/>
        <v>5</v>
      </c>
    </row>
    <row r="61" ht="15" customHeight="1" spans="1:12">
      <c r="A61" s="14"/>
      <c r="B61" s="77">
        <v>9</v>
      </c>
      <c r="C61" s="10" t="s">
        <v>156</v>
      </c>
      <c r="D61" s="36"/>
      <c r="E61" s="36" t="s">
        <v>29</v>
      </c>
      <c r="F61" s="36"/>
      <c r="G61" s="36" t="s">
        <v>90</v>
      </c>
      <c r="H61" s="36"/>
      <c r="I61" s="36" t="s">
        <v>24</v>
      </c>
      <c r="J61" s="36" t="s">
        <v>65</v>
      </c>
      <c r="K61" s="81"/>
      <c r="L61" s="9">
        <f t="shared" si="0"/>
        <v>4</v>
      </c>
    </row>
    <row r="62" ht="15" customHeight="1" spans="1:12">
      <c r="A62" s="15"/>
      <c r="B62" s="77">
        <v>10</v>
      </c>
      <c r="C62" s="10" t="s">
        <v>157</v>
      </c>
      <c r="D62" s="36" t="s">
        <v>107</v>
      </c>
      <c r="E62" s="36"/>
      <c r="F62" s="36" t="s">
        <v>45</v>
      </c>
      <c r="G62" s="36" t="s">
        <v>75</v>
      </c>
      <c r="H62" s="36"/>
      <c r="I62" s="36"/>
      <c r="J62" s="36" t="s">
        <v>73</v>
      </c>
      <c r="K62" s="36"/>
      <c r="L62" s="9">
        <f t="shared" si="0"/>
        <v>4</v>
      </c>
    </row>
    <row r="63" ht="15" customHeight="1" spans="1:12">
      <c r="A63" s="13" t="s">
        <v>158</v>
      </c>
      <c r="B63" s="77">
        <v>11</v>
      </c>
      <c r="C63" s="10" t="s">
        <v>159</v>
      </c>
      <c r="D63" s="36" t="s">
        <v>54</v>
      </c>
      <c r="E63" s="36" t="s">
        <v>85</v>
      </c>
      <c r="F63" s="36"/>
      <c r="G63" s="36"/>
      <c r="H63" s="36"/>
      <c r="I63" s="36" t="s">
        <v>28</v>
      </c>
      <c r="J63" s="36"/>
      <c r="K63" s="36" t="s">
        <v>44</v>
      </c>
      <c r="L63" s="9">
        <f t="shared" si="0"/>
        <v>4</v>
      </c>
    </row>
    <row r="64" ht="15" customHeight="1" spans="1:12">
      <c r="A64" s="14"/>
      <c r="B64" s="77">
        <v>12</v>
      </c>
      <c r="C64" s="10" t="s">
        <v>160</v>
      </c>
      <c r="D64" s="36" t="s">
        <v>38</v>
      </c>
      <c r="E64" s="36"/>
      <c r="F64" s="36"/>
      <c r="G64" s="36" t="s">
        <v>49</v>
      </c>
      <c r="H64" s="36"/>
      <c r="I64" s="36" t="s">
        <v>40</v>
      </c>
      <c r="J64" s="36"/>
      <c r="K64" s="36" t="s">
        <v>34</v>
      </c>
      <c r="L64" s="9">
        <f t="shared" si="0"/>
        <v>4</v>
      </c>
    </row>
    <row r="65" ht="15" customHeight="1" spans="1:12">
      <c r="A65" s="14"/>
      <c r="B65" s="77">
        <v>13</v>
      </c>
      <c r="C65" s="10" t="s">
        <v>161</v>
      </c>
      <c r="D65" s="36" t="s">
        <v>53</v>
      </c>
      <c r="E65" s="36"/>
      <c r="F65" s="36" t="s">
        <v>84</v>
      </c>
      <c r="G65" s="36"/>
      <c r="H65" s="36"/>
      <c r="I65" s="36" t="s">
        <v>23</v>
      </c>
      <c r="J65" s="36" t="s">
        <v>69</v>
      </c>
      <c r="K65" s="36"/>
      <c r="L65" s="9">
        <f t="shared" si="0"/>
        <v>4</v>
      </c>
    </row>
    <row r="66" ht="15" customHeight="1" spans="1:12">
      <c r="A66" s="15"/>
      <c r="B66" s="77">
        <v>14</v>
      </c>
      <c r="C66" s="10" t="s">
        <v>162</v>
      </c>
      <c r="D66" s="36" t="s">
        <v>132</v>
      </c>
      <c r="E66" s="36"/>
      <c r="F66" s="36" t="s">
        <v>71</v>
      </c>
      <c r="G66" s="36" t="s">
        <v>36</v>
      </c>
      <c r="H66" s="36"/>
      <c r="I66" s="36"/>
      <c r="J66" s="33" t="s">
        <v>42</v>
      </c>
      <c r="K66" s="36"/>
      <c r="L66" s="9">
        <f t="shared" si="0"/>
        <v>4</v>
      </c>
    </row>
    <row r="67" ht="15" customHeight="1" spans="1:12">
      <c r="A67" s="82" t="s">
        <v>163</v>
      </c>
      <c r="B67" s="77">
        <v>1</v>
      </c>
      <c r="C67" s="9" t="s">
        <v>164</v>
      </c>
      <c r="D67" s="78"/>
      <c r="E67" s="36" t="s">
        <v>58</v>
      </c>
      <c r="F67" s="36" t="s">
        <v>165</v>
      </c>
      <c r="G67" s="36"/>
      <c r="H67" s="36"/>
      <c r="I67" s="36" t="s">
        <v>50</v>
      </c>
      <c r="J67" s="36"/>
      <c r="K67" s="36" t="s">
        <v>23</v>
      </c>
      <c r="L67" s="9">
        <f t="shared" si="0"/>
        <v>4</v>
      </c>
    </row>
    <row r="68" ht="15" customHeight="1" spans="1:12">
      <c r="A68" s="21"/>
      <c r="B68" s="77">
        <v>2</v>
      </c>
      <c r="C68" s="9" t="s">
        <v>166</v>
      </c>
      <c r="D68" s="78"/>
      <c r="E68" s="36" t="s">
        <v>64</v>
      </c>
      <c r="F68" s="36" t="s">
        <v>69</v>
      </c>
      <c r="G68" s="36"/>
      <c r="H68" s="36"/>
      <c r="I68" s="36" t="s">
        <v>54</v>
      </c>
      <c r="J68" s="36"/>
      <c r="K68" s="36" t="s">
        <v>22</v>
      </c>
      <c r="L68" s="9">
        <f t="shared" si="0"/>
        <v>4</v>
      </c>
    </row>
    <row r="69" ht="15" customHeight="1" spans="1:12">
      <c r="A69" s="21"/>
      <c r="B69" s="77">
        <v>3</v>
      </c>
      <c r="C69" s="9" t="s">
        <v>167</v>
      </c>
      <c r="D69" s="78"/>
      <c r="E69" s="36"/>
      <c r="F69" s="36"/>
      <c r="G69" s="36"/>
      <c r="H69" s="36"/>
      <c r="I69" s="36" t="s">
        <v>64</v>
      </c>
      <c r="J69" s="36"/>
      <c r="K69" s="36"/>
      <c r="L69" s="9">
        <f t="shared" ref="L69:L107" si="1">COUNTIFS(D69:K69,"&gt;""")</f>
        <v>1</v>
      </c>
    </row>
    <row r="70" ht="15" customHeight="1" spans="1:12">
      <c r="A70" s="21"/>
      <c r="B70" s="77">
        <v>4</v>
      </c>
      <c r="C70" s="9" t="s">
        <v>168</v>
      </c>
      <c r="D70" s="78" t="s">
        <v>24</v>
      </c>
      <c r="E70" s="36"/>
      <c r="F70" s="36" t="s">
        <v>104</v>
      </c>
      <c r="G70" s="36" t="s">
        <v>80</v>
      </c>
      <c r="H70" s="36"/>
      <c r="I70" s="36"/>
      <c r="J70" s="36" t="s">
        <v>41</v>
      </c>
      <c r="K70" s="36" t="s">
        <v>75</v>
      </c>
      <c r="L70" s="9">
        <f t="shared" si="1"/>
        <v>5</v>
      </c>
    </row>
    <row r="71" ht="15" customHeight="1" spans="1:12">
      <c r="A71" s="21"/>
      <c r="B71" s="77">
        <v>5</v>
      </c>
      <c r="C71" s="9" t="s">
        <v>169</v>
      </c>
      <c r="D71" s="78"/>
      <c r="E71" s="36" t="s">
        <v>121</v>
      </c>
      <c r="F71" s="36" t="s">
        <v>129</v>
      </c>
      <c r="G71" s="36"/>
      <c r="H71" s="36"/>
      <c r="I71" s="36" t="s">
        <v>90</v>
      </c>
      <c r="J71" s="36" t="s">
        <v>27</v>
      </c>
      <c r="K71" s="36"/>
      <c r="L71" s="9">
        <f t="shared" si="1"/>
        <v>4</v>
      </c>
    </row>
    <row r="72" ht="15" customHeight="1" spans="1:12">
      <c r="A72" s="21"/>
      <c r="B72" s="77">
        <v>6</v>
      </c>
      <c r="C72" s="9" t="s">
        <v>170</v>
      </c>
      <c r="D72" s="78" t="s">
        <v>34</v>
      </c>
      <c r="E72" s="36" t="s">
        <v>74</v>
      </c>
      <c r="F72" s="36"/>
      <c r="G72" s="36"/>
      <c r="H72" s="36"/>
      <c r="I72" s="36" t="s">
        <v>81</v>
      </c>
      <c r="J72" s="36" t="s">
        <v>33</v>
      </c>
      <c r="K72" s="36"/>
      <c r="L72" s="9">
        <f t="shared" si="1"/>
        <v>4</v>
      </c>
    </row>
    <row r="73" ht="15" customHeight="1" spans="1:12">
      <c r="A73" s="21"/>
      <c r="B73" s="77">
        <v>7</v>
      </c>
      <c r="C73" s="9" t="s">
        <v>171</v>
      </c>
      <c r="D73" s="78" t="s">
        <v>45</v>
      </c>
      <c r="E73" s="36" t="s">
        <v>64</v>
      </c>
      <c r="F73" s="36"/>
      <c r="G73" s="36" t="s">
        <v>42</v>
      </c>
      <c r="H73" s="36"/>
      <c r="I73" s="36"/>
      <c r="J73" s="36"/>
      <c r="K73" s="36" t="s">
        <v>49</v>
      </c>
      <c r="L73" s="9">
        <f t="shared" si="1"/>
        <v>4</v>
      </c>
    </row>
    <row r="74" ht="15" customHeight="1" spans="1:12">
      <c r="A74" s="21"/>
      <c r="B74" s="77">
        <v>8</v>
      </c>
      <c r="C74" s="9" t="s">
        <v>172</v>
      </c>
      <c r="D74" s="78"/>
      <c r="E74" s="36" t="s">
        <v>100</v>
      </c>
      <c r="F74" s="36"/>
      <c r="G74" s="36" t="s">
        <v>85</v>
      </c>
      <c r="H74" s="36"/>
      <c r="I74" s="36" t="s">
        <v>54</v>
      </c>
      <c r="J74" s="36"/>
      <c r="K74" s="36" t="s">
        <v>26</v>
      </c>
      <c r="L74" s="9">
        <f t="shared" si="1"/>
        <v>4</v>
      </c>
    </row>
    <row r="75" ht="15" customHeight="1" spans="1:12">
      <c r="A75" s="21"/>
      <c r="B75" s="77">
        <v>9</v>
      </c>
      <c r="C75" s="9" t="s">
        <v>173</v>
      </c>
      <c r="D75" s="78" t="s">
        <v>29</v>
      </c>
      <c r="E75" s="36" t="s">
        <v>37</v>
      </c>
      <c r="F75" s="36"/>
      <c r="G75" s="36" t="s">
        <v>52</v>
      </c>
      <c r="H75" s="36"/>
      <c r="I75" s="36" t="s">
        <v>78</v>
      </c>
      <c r="J75" s="36"/>
      <c r="K75" s="36"/>
      <c r="L75" s="9">
        <f t="shared" si="1"/>
        <v>4</v>
      </c>
    </row>
    <row r="76" ht="15" customHeight="1" spans="1:12">
      <c r="A76" s="21"/>
      <c r="B76" s="77">
        <v>10</v>
      </c>
      <c r="C76" s="9" t="s">
        <v>174</v>
      </c>
      <c r="D76" s="78" t="s">
        <v>71</v>
      </c>
      <c r="E76" s="36"/>
      <c r="F76" s="36" t="s">
        <v>97</v>
      </c>
      <c r="G76" s="36" t="s">
        <v>144</v>
      </c>
      <c r="H76" s="36"/>
      <c r="I76" s="36"/>
      <c r="J76" s="36"/>
      <c r="K76" s="36" t="s">
        <v>65</v>
      </c>
      <c r="L76" s="9">
        <f t="shared" si="1"/>
        <v>4</v>
      </c>
    </row>
    <row r="77" ht="15" customHeight="1" spans="1:12">
      <c r="A77" s="9" t="s">
        <v>175</v>
      </c>
      <c r="B77" s="77">
        <v>1</v>
      </c>
      <c r="C77" s="9" t="s">
        <v>176</v>
      </c>
      <c r="E77" s="36" t="s">
        <v>33</v>
      </c>
      <c r="F77" s="36"/>
      <c r="G77" s="36" t="s">
        <v>58</v>
      </c>
      <c r="H77" s="36"/>
      <c r="I77" s="36" t="s">
        <v>121</v>
      </c>
      <c r="J77" s="36"/>
      <c r="K77" s="36" t="s">
        <v>54</v>
      </c>
      <c r="L77" s="9">
        <f t="shared" si="1"/>
        <v>4</v>
      </c>
    </row>
    <row r="78" ht="15" customHeight="1" spans="1:12">
      <c r="A78" s="9"/>
      <c r="B78" s="77">
        <v>2</v>
      </c>
      <c r="C78" s="9" t="s">
        <v>177</v>
      </c>
      <c r="D78" s="36"/>
      <c r="E78" s="36" t="s">
        <v>65</v>
      </c>
      <c r="F78" s="83"/>
      <c r="G78" s="36" t="s">
        <v>104</v>
      </c>
      <c r="H78" s="36"/>
      <c r="I78" s="36" t="s">
        <v>80</v>
      </c>
      <c r="J78" s="36"/>
      <c r="K78" s="36" t="s">
        <v>66</v>
      </c>
      <c r="L78" s="9">
        <f t="shared" si="1"/>
        <v>4</v>
      </c>
    </row>
    <row r="79" ht="15" customHeight="1" spans="1:12">
      <c r="A79" s="9"/>
      <c r="B79" s="77">
        <v>3</v>
      </c>
      <c r="C79" s="9" t="s">
        <v>178</v>
      </c>
      <c r="D79" s="36"/>
      <c r="E79" s="36" t="s">
        <v>23</v>
      </c>
      <c r="F79" s="36" t="s">
        <v>27</v>
      </c>
      <c r="G79" s="36"/>
      <c r="H79" s="36"/>
      <c r="I79" s="36" t="s">
        <v>55</v>
      </c>
      <c r="J79" s="36" t="s">
        <v>78</v>
      </c>
      <c r="K79" s="36"/>
      <c r="L79" s="9">
        <f t="shared" si="1"/>
        <v>4</v>
      </c>
    </row>
    <row r="80" ht="15" customHeight="1" spans="1:12">
      <c r="A80" s="9"/>
      <c r="B80" s="77">
        <v>4</v>
      </c>
      <c r="C80" s="9" t="s">
        <v>179</v>
      </c>
      <c r="D80" s="36" t="s">
        <v>44</v>
      </c>
      <c r="E80" s="36" t="s">
        <v>49</v>
      </c>
      <c r="F80" s="36"/>
      <c r="G80" s="36" t="s">
        <v>120</v>
      </c>
      <c r="H80" s="36"/>
      <c r="I80" s="36" t="s">
        <v>71</v>
      </c>
      <c r="J80" s="36" t="s">
        <v>29</v>
      </c>
      <c r="K80" s="36"/>
      <c r="L80" s="9">
        <f t="shared" si="1"/>
        <v>5</v>
      </c>
    </row>
    <row r="81" ht="15" customHeight="1" spans="1:12">
      <c r="A81" s="9"/>
      <c r="B81" s="77">
        <v>5</v>
      </c>
      <c r="C81" s="9" t="s">
        <v>180</v>
      </c>
      <c r="D81" s="36" t="s">
        <v>42</v>
      </c>
      <c r="E81" s="36" t="s">
        <v>73</v>
      </c>
      <c r="F81" s="36"/>
      <c r="G81" s="36" t="s">
        <v>69</v>
      </c>
      <c r="H81" s="36"/>
      <c r="I81" s="36"/>
      <c r="J81" s="36" t="s">
        <v>45</v>
      </c>
      <c r="K81" s="36"/>
      <c r="L81" s="9">
        <f t="shared" si="1"/>
        <v>4</v>
      </c>
    </row>
    <row r="82" ht="15" customHeight="1" spans="1:12">
      <c r="A82" s="9"/>
      <c r="B82" s="77">
        <v>6</v>
      </c>
      <c r="C82" s="9" t="s">
        <v>181</v>
      </c>
      <c r="D82" s="36" t="s">
        <v>100</v>
      </c>
      <c r="E82" s="36"/>
      <c r="F82" s="36" t="s">
        <v>22</v>
      </c>
      <c r="G82" s="36" t="s">
        <v>26</v>
      </c>
      <c r="H82" s="36"/>
      <c r="I82" s="36"/>
      <c r="J82" s="36" t="s">
        <v>85</v>
      </c>
      <c r="K82" s="36"/>
      <c r="L82" s="9">
        <f t="shared" si="1"/>
        <v>4</v>
      </c>
    </row>
    <row r="83" ht="15" customHeight="1" spans="1:12">
      <c r="A83" s="9"/>
      <c r="B83" s="77">
        <v>7</v>
      </c>
      <c r="C83" s="9" t="s">
        <v>182</v>
      </c>
      <c r="D83" s="36"/>
      <c r="E83" s="36" t="s">
        <v>89</v>
      </c>
      <c r="F83" s="36" t="s">
        <v>81</v>
      </c>
      <c r="G83" s="36"/>
      <c r="H83" s="36"/>
      <c r="I83" s="36" t="s">
        <v>31</v>
      </c>
      <c r="J83" s="36"/>
      <c r="K83" s="36" t="s">
        <v>41</v>
      </c>
      <c r="L83" s="9">
        <f t="shared" si="1"/>
        <v>4</v>
      </c>
    </row>
    <row r="84" ht="15" customHeight="1" spans="1:12">
      <c r="A84" s="9"/>
      <c r="B84" s="77">
        <v>8</v>
      </c>
      <c r="C84" s="10" t="s">
        <v>183</v>
      </c>
      <c r="D84" s="36" t="s">
        <v>114</v>
      </c>
      <c r="E84" s="36" t="s">
        <v>32</v>
      </c>
      <c r="F84" s="36"/>
      <c r="G84" s="36" t="s">
        <v>107</v>
      </c>
      <c r="H84" s="36"/>
      <c r="I84" s="36"/>
      <c r="J84" s="36" t="s">
        <v>90</v>
      </c>
      <c r="K84" s="36"/>
      <c r="L84" s="9">
        <f t="shared" si="1"/>
        <v>4</v>
      </c>
    </row>
    <row r="85" ht="15" customHeight="1" spans="1:12">
      <c r="A85" s="9"/>
      <c r="B85" s="77">
        <v>9</v>
      </c>
      <c r="C85" s="10" t="s">
        <v>184</v>
      </c>
      <c r="D85" s="36"/>
      <c r="E85" s="36" t="s">
        <v>24</v>
      </c>
      <c r="F85" s="36" t="s">
        <v>132</v>
      </c>
      <c r="G85" s="36"/>
      <c r="H85" s="36"/>
      <c r="I85" s="36" t="s">
        <v>36</v>
      </c>
      <c r="J85" s="36" t="s">
        <v>75</v>
      </c>
      <c r="K85" s="36"/>
      <c r="L85" s="9">
        <f t="shared" si="1"/>
        <v>4</v>
      </c>
    </row>
    <row r="86" ht="15" customHeight="1" spans="1:12">
      <c r="A86" s="9"/>
      <c r="B86" s="77">
        <v>10</v>
      </c>
      <c r="C86" s="9" t="s">
        <v>185</v>
      </c>
      <c r="D86" s="36" t="s">
        <v>42</v>
      </c>
      <c r="E86" s="84"/>
      <c r="F86" s="85" t="s">
        <v>27</v>
      </c>
      <c r="G86" s="36" t="s">
        <v>26</v>
      </c>
      <c r="H86" s="36"/>
      <c r="I86" s="36" t="s">
        <v>80</v>
      </c>
      <c r="J86" s="36"/>
      <c r="K86" s="36"/>
      <c r="L86" s="9">
        <f t="shared" si="1"/>
        <v>4</v>
      </c>
    </row>
    <row r="87" ht="15" customHeight="1" spans="1:12">
      <c r="A87" s="9" t="s">
        <v>186</v>
      </c>
      <c r="B87" s="77">
        <v>1</v>
      </c>
      <c r="C87" s="9" t="s">
        <v>187</v>
      </c>
      <c r="D87" s="36"/>
      <c r="E87" s="36" t="s">
        <v>55</v>
      </c>
      <c r="F87" s="36"/>
      <c r="G87" s="36" t="s">
        <v>40</v>
      </c>
      <c r="H87" s="36"/>
      <c r="I87" s="36"/>
      <c r="J87" s="36"/>
      <c r="K87" s="36" t="s">
        <v>60</v>
      </c>
      <c r="L87" s="9">
        <f t="shared" si="1"/>
        <v>3</v>
      </c>
    </row>
    <row r="88" ht="15" customHeight="1" spans="1:12">
      <c r="A88" s="9"/>
      <c r="B88" s="77">
        <v>2</v>
      </c>
      <c r="C88" s="9" t="s">
        <v>188</v>
      </c>
      <c r="D88" s="36"/>
      <c r="E88" s="43" t="s">
        <v>48</v>
      </c>
      <c r="F88" s="36" t="s">
        <v>49</v>
      </c>
      <c r="G88" s="36"/>
      <c r="H88" s="36"/>
      <c r="I88" s="36" t="s">
        <v>37</v>
      </c>
      <c r="J88" s="36"/>
      <c r="K88" s="36" t="s">
        <v>27</v>
      </c>
      <c r="L88" s="9">
        <f t="shared" si="1"/>
        <v>4</v>
      </c>
    </row>
    <row r="89" ht="15" customHeight="1" spans="1:12">
      <c r="A89" s="9"/>
      <c r="B89" s="77">
        <v>3</v>
      </c>
      <c r="C89" s="9" t="s">
        <v>189</v>
      </c>
      <c r="D89" s="36" t="s">
        <v>65</v>
      </c>
      <c r="E89" s="36" t="s">
        <v>42</v>
      </c>
      <c r="F89" s="36"/>
      <c r="G89" s="36" t="s">
        <v>38</v>
      </c>
      <c r="H89" s="36"/>
      <c r="I89" s="36"/>
      <c r="J89" s="36" t="s">
        <v>114</v>
      </c>
      <c r="K89" s="36" t="s">
        <v>33</v>
      </c>
      <c r="L89" s="9">
        <f t="shared" si="1"/>
        <v>5</v>
      </c>
    </row>
    <row r="90" ht="15" customHeight="1" spans="1:12">
      <c r="A90" s="9"/>
      <c r="B90" s="77">
        <v>4</v>
      </c>
      <c r="C90" s="9" t="s">
        <v>190</v>
      </c>
      <c r="D90" s="36"/>
      <c r="E90" s="36" t="s">
        <v>28</v>
      </c>
      <c r="F90" s="36"/>
      <c r="G90" s="36" t="s">
        <v>32</v>
      </c>
      <c r="H90" s="36"/>
      <c r="I90" s="36"/>
      <c r="J90" s="36" t="s">
        <v>56</v>
      </c>
      <c r="K90" s="36" t="s">
        <v>73</v>
      </c>
      <c r="L90" s="9">
        <f t="shared" si="1"/>
        <v>4</v>
      </c>
    </row>
    <row r="91" ht="15" customHeight="1" spans="1:12">
      <c r="A91" s="13" t="s">
        <v>191</v>
      </c>
      <c r="B91" s="77">
        <v>1</v>
      </c>
      <c r="C91" s="9" t="s">
        <v>192</v>
      </c>
      <c r="D91" s="36" t="s">
        <v>80</v>
      </c>
      <c r="E91" s="36"/>
      <c r="F91" s="36" t="s">
        <v>60</v>
      </c>
      <c r="G91" s="36"/>
      <c r="H91" s="36"/>
      <c r="I91" s="36" t="s">
        <v>60</v>
      </c>
      <c r="J91" s="36"/>
      <c r="K91" s="36" t="s">
        <v>32</v>
      </c>
      <c r="L91" s="9">
        <f t="shared" si="1"/>
        <v>4</v>
      </c>
    </row>
    <row r="92" ht="15" customHeight="1" spans="1:12">
      <c r="A92" s="14"/>
      <c r="B92" s="77">
        <v>2</v>
      </c>
      <c r="C92" s="9" t="s">
        <v>193</v>
      </c>
      <c r="D92" s="36" t="s">
        <v>194</v>
      </c>
      <c r="E92" s="36"/>
      <c r="F92" s="36"/>
      <c r="G92" s="36"/>
      <c r="H92" s="36"/>
      <c r="I92" s="36" t="s">
        <v>115</v>
      </c>
      <c r="J92" s="36" t="s">
        <v>195</v>
      </c>
      <c r="K92" s="36"/>
      <c r="L92" s="9">
        <f t="shared" si="1"/>
        <v>3</v>
      </c>
    </row>
    <row r="93" ht="15" customHeight="1" spans="1:12">
      <c r="A93" s="14"/>
      <c r="B93" s="77">
        <v>3</v>
      </c>
      <c r="C93" s="9" t="s">
        <v>196</v>
      </c>
      <c r="D93" s="36"/>
      <c r="E93" s="36" t="s">
        <v>197</v>
      </c>
      <c r="F93" s="36" t="s">
        <v>198</v>
      </c>
      <c r="G93" s="36"/>
      <c r="H93" s="36"/>
      <c r="I93" s="36"/>
      <c r="J93" s="36"/>
      <c r="K93" s="36" t="s">
        <v>199</v>
      </c>
      <c r="L93" s="9">
        <f t="shared" si="1"/>
        <v>3</v>
      </c>
    </row>
    <row r="94" ht="15" customHeight="1" spans="1:12">
      <c r="A94" s="14"/>
      <c r="B94" s="77">
        <v>4</v>
      </c>
      <c r="C94" s="9" t="s">
        <v>200</v>
      </c>
      <c r="D94" s="36"/>
      <c r="E94" s="36" t="s">
        <v>107</v>
      </c>
      <c r="F94" s="36"/>
      <c r="G94" s="36" t="s">
        <v>59</v>
      </c>
      <c r="H94" s="36"/>
      <c r="I94" s="36" t="s">
        <v>53</v>
      </c>
      <c r="J94" s="36"/>
      <c r="K94" s="36" t="s">
        <v>28</v>
      </c>
      <c r="L94" s="9">
        <f t="shared" si="1"/>
        <v>4</v>
      </c>
    </row>
    <row r="95" ht="15" customHeight="1" spans="1:12">
      <c r="A95" s="14"/>
      <c r="B95" s="77">
        <v>5</v>
      </c>
      <c r="C95" s="9" t="s">
        <v>201</v>
      </c>
      <c r="D95" s="36"/>
      <c r="E95" s="36" t="s">
        <v>47</v>
      </c>
      <c r="F95" s="36" t="s">
        <v>40</v>
      </c>
      <c r="G95" s="36"/>
      <c r="H95" s="36"/>
      <c r="I95" s="36" t="s">
        <v>140</v>
      </c>
      <c r="J95" s="36" t="s">
        <v>115</v>
      </c>
      <c r="K95" s="36"/>
      <c r="L95" s="9">
        <f t="shared" si="1"/>
        <v>4</v>
      </c>
    </row>
    <row r="96" ht="15" customHeight="1" spans="1:12">
      <c r="A96" s="22" t="s">
        <v>202</v>
      </c>
      <c r="B96" s="77">
        <v>1</v>
      </c>
      <c r="C96" s="9" t="s">
        <v>203</v>
      </c>
      <c r="D96" s="36"/>
      <c r="E96" s="36"/>
      <c r="F96" s="36" t="s">
        <v>198</v>
      </c>
      <c r="G96" s="36" t="s">
        <v>129</v>
      </c>
      <c r="H96" s="36"/>
      <c r="I96" s="36"/>
      <c r="J96" s="36" t="s">
        <v>195</v>
      </c>
      <c r="K96" s="36" t="s">
        <v>199</v>
      </c>
      <c r="L96" s="9">
        <f t="shared" si="1"/>
        <v>4</v>
      </c>
    </row>
    <row r="97" ht="15" customHeight="1" spans="1:12">
      <c r="A97" s="23"/>
      <c r="B97" s="77">
        <v>2</v>
      </c>
      <c r="C97" s="9" t="s">
        <v>204</v>
      </c>
      <c r="D97" s="33"/>
      <c r="E97" s="33" t="s">
        <v>41</v>
      </c>
      <c r="F97" s="33" t="s">
        <v>114</v>
      </c>
      <c r="G97" s="33"/>
      <c r="H97" s="33"/>
      <c r="I97" s="33"/>
      <c r="J97" s="33" t="s">
        <v>121</v>
      </c>
      <c r="K97" s="33"/>
      <c r="L97" s="9">
        <f t="shared" si="1"/>
        <v>3</v>
      </c>
    </row>
    <row r="98" ht="15" customHeight="1" spans="1:12">
      <c r="A98" s="23"/>
      <c r="B98" s="77">
        <v>3</v>
      </c>
      <c r="C98" s="9" t="s">
        <v>205</v>
      </c>
      <c r="D98" s="36"/>
      <c r="E98" s="36" t="s">
        <v>50</v>
      </c>
      <c r="F98" s="36"/>
      <c r="G98" s="36"/>
      <c r="H98" s="36"/>
      <c r="I98" s="36"/>
      <c r="J98" s="36"/>
      <c r="K98" s="36" t="s">
        <v>55</v>
      </c>
      <c r="L98" s="9">
        <f t="shared" si="1"/>
        <v>2</v>
      </c>
    </row>
    <row r="99" ht="15" customHeight="1" spans="1:12">
      <c r="A99" s="23"/>
      <c r="B99" s="77">
        <v>4</v>
      </c>
      <c r="C99" s="9" t="s">
        <v>206</v>
      </c>
      <c r="D99" s="36"/>
      <c r="E99" s="36"/>
      <c r="F99" s="36" t="s">
        <v>31</v>
      </c>
      <c r="G99" s="36"/>
      <c r="H99" s="36"/>
      <c r="I99" s="36"/>
      <c r="J99" s="36" t="s">
        <v>53</v>
      </c>
      <c r="K99" s="36" t="s">
        <v>140</v>
      </c>
      <c r="L99" s="9">
        <f t="shared" si="1"/>
        <v>3</v>
      </c>
    </row>
    <row r="100" ht="15" customHeight="1" spans="1:12">
      <c r="A100" s="23"/>
      <c r="B100" s="77">
        <v>5</v>
      </c>
      <c r="C100" s="9" t="s">
        <v>207</v>
      </c>
      <c r="D100" s="36" t="s">
        <v>194</v>
      </c>
      <c r="E100" s="36" t="s">
        <v>208</v>
      </c>
      <c r="F100" s="36"/>
      <c r="G100" s="36" t="s">
        <v>100</v>
      </c>
      <c r="H100" s="36"/>
      <c r="I100" s="36"/>
      <c r="J100" s="36" t="s">
        <v>70</v>
      </c>
      <c r="K100" s="36"/>
      <c r="L100" s="9">
        <f t="shared" si="1"/>
        <v>4</v>
      </c>
    </row>
    <row r="101" ht="15" customHeight="1" spans="1:12">
      <c r="A101" s="24"/>
      <c r="B101" s="77">
        <v>6</v>
      </c>
      <c r="C101" s="10" t="s">
        <v>209</v>
      </c>
      <c r="D101" s="36"/>
      <c r="E101" s="68"/>
      <c r="F101" s="36"/>
      <c r="G101" s="36" t="s">
        <v>97</v>
      </c>
      <c r="H101" s="36"/>
      <c r="I101" s="43"/>
      <c r="J101" s="36"/>
      <c r="K101" s="36" t="s">
        <v>82</v>
      </c>
      <c r="L101" s="9">
        <f t="shared" si="1"/>
        <v>2</v>
      </c>
    </row>
    <row r="102" ht="15" customHeight="1" spans="1:12">
      <c r="A102" s="9" t="s">
        <v>210</v>
      </c>
      <c r="B102" s="77">
        <v>1</v>
      </c>
      <c r="C102" s="9" t="s">
        <v>211</v>
      </c>
      <c r="D102" s="36"/>
      <c r="E102" s="36" t="s">
        <v>144</v>
      </c>
      <c r="F102" s="36"/>
      <c r="G102" s="36" t="s">
        <v>74</v>
      </c>
      <c r="H102" s="36"/>
      <c r="I102" s="36" t="s">
        <v>76</v>
      </c>
      <c r="J102" s="36" t="s">
        <v>138</v>
      </c>
      <c r="K102" s="36"/>
      <c r="L102" s="9">
        <f t="shared" si="1"/>
        <v>4</v>
      </c>
    </row>
    <row r="103" ht="15" customHeight="1" spans="1:12">
      <c r="A103" s="9"/>
      <c r="B103" s="77">
        <v>2</v>
      </c>
      <c r="C103" s="9" t="s">
        <v>212</v>
      </c>
      <c r="D103" s="33" t="s">
        <v>104</v>
      </c>
      <c r="E103" s="33"/>
      <c r="F103" s="33" t="s">
        <v>75</v>
      </c>
      <c r="G103" s="33" t="s">
        <v>132</v>
      </c>
      <c r="H103" s="33"/>
      <c r="I103" s="33"/>
      <c r="J103" s="33" t="s">
        <v>67</v>
      </c>
      <c r="K103" s="33" t="s">
        <v>31</v>
      </c>
      <c r="L103" s="9">
        <f t="shared" si="1"/>
        <v>5</v>
      </c>
    </row>
    <row r="104" ht="15" customHeight="1" spans="1:12">
      <c r="A104" s="9"/>
      <c r="B104" s="77">
        <v>3</v>
      </c>
      <c r="C104" s="9" t="s">
        <v>213</v>
      </c>
      <c r="D104" s="36"/>
      <c r="E104" s="36" t="s">
        <v>135</v>
      </c>
      <c r="F104" s="36" t="s">
        <v>52</v>
      </c>
      <c r="G104" s="36"/>
      <c r="H104" s="36"/>
      <c r="I104" s="36"/>
      <c r="J104" s="36" t="s">
        <v>62</v>
      </c>
      <c r="K104" s="36" t="s">
        <v>86</v>
      </c>
      <c r="L104" s="9">
        <f t="shared" si="1"/>
        <v>4</v>
      </c>
    </row>
    <row r="105" ht="15" customHeight="1" spans="1:12">
      <c r="A105" s="9"/>
      <c r="B105" s="77">
        <v>4</v>
      </c>
      <c r="C105" s="9" t="s">
        <v>214</v>
      </c>
      <c r="D105" s="33"/>
      <c r="E105" s="33" t="s">
        <v>59</v>
      </c>
      <c r="F105" s="33" t="s">
        <v>89</v>
      </c>
      <c r="G105" s="33"/>
      <c r="H105" s="33"/>
      <c r="I105" s="33" t="s">
        <v>112</v>
      </c>
      <c r="J105" s="33" t="s">
        <v>87</v>
      </c>
      <c r="K105" s="33"/>
      <c r="L105" s="9">
        <f t="shared" si="1"/>
        <v>4</v>
      </c>
    </row>
    <row r="106" ht="15" customHeight="1" spans="1:12">
      <c r="A106" s="9"/>
      <c r="B106" s="77">
        <v>5</v>
      </c>
      <c r="C106" s="9" t="s">
        <v>215</v>
      </c>
      <c r="D106" s="36" t="s">
        <v>84</v>
      </c>
      <c r="E106" s="36"/>
      <c r="F106" s="36" t="s">
        <v>111</v>
      </c>
      <c r="G106" s="36"/>
      <c r="H106" s="36"/>
      <c r="I106" s="36" t="s">
        <v>67</v>
      </c>
      <c r="J106" s="36"/>
      <c r="K106" s="36" t="s">
        <v>70</v>
      </c>
      <c r="L106" s="9">
        <f t="shared" si="1"/>
        <v>4</v>
      </c>
    </row>
    <row r="107" ht="15" customHeight="1" spans="1:12">
      <c r="A107" s="9" t="s">
        <v>216</v>
      </c>
      <c r="B107" s="77">
        <v>1</v>
      </c>
      <c r="C107" s="9" t="s">
        <v>217</v>
      </c>
      <c r="D107" s="36"/>
      <c r="E107" s="36" t="s">
        <v>38</v>
      </c>
      <c r="F107" s="36" t="s">
        <v>28</v>
      </c>
      <c r="G107" s="36"/>
      <c r="H107" s="36"/>
      <c r="I107" s="36" t="s">
        <v>138</v>
      </c>
      <c r="J107" s="36" t="s">
        <v>91</v>
      </c>
      <c r="K107" s="36"/>
      <c r="L107" s="9">
        <f t="shared" si="1"/>
        <v>4</v>
      </c>
    </row>
    <row r="108" ht="14.1" customHeight="1" spans="1:13">
      <c r="A108" s="9"/>
      <c r="B108" s="77"/>
      <c r="C108" s="9"/>
      <c r="D108" s="9">
        <f>COUNTIFS(D5:D107,"&gt;""")</f>
        <v>59</v>
      </c>
      <c r="E108" s="9">
        <f>COUNTIFS(E5:E107,"&gt;""")</f>
        <v>59</v>
      </c>
      <c r="F108" s="9">
        <f>COUNTIFS(F5:F107,"&gt;""")</f>
        <v>58</v>
      </c>
      <c r="G108" s="9">
        <f>COUNTIFS(G5:G107,"&gt;""")</f>
        <v>58</v>
      </c>
      <c r="H108" s="9">
        <f>COUNTIFS(H5:H106,"&gt;""")</f>
        <v>0</v>
      </c>
      <c r="I108" s="9">
        <f>COUNTIFS(I5:I107,"&gt;""")</f>
        <v>60</v>
      </c>
      <c r="J108" s="9">
        <f>COUNTIFS(J5:J107,"&gt;""")</f>
        <v>57</v>
      </c>
      <c r="K108" s="9">
        <f>COUNTIFS(K5:K107,"&gt;""")</f>
        <v>51</v>
      </c>
      <c r="L108" s="9"/>
      <c r="M108" s="48"/>
    </row>
    <row r="109" ht="21" customHeight="1" spans="1:12">
      <c r="A109" s="86"/>
      <c r="B109" s="77"/>
      <c r="C109" s="4" t="s">
        <v>1</v>
      </c>
      <c r="D109" s="5"/>
      <c r="E109" s="5"/>
      <c r="F109" s="5"/>
      <c r="G109" s="5"/>
      <c r="H109" s="5"/>
      <c r="I109" s="5"/>
      <c r="J109" s="5"/>
      <c r="K109" s="19"/>
      <c r="L109" s="9"/>
    </row>
    <row r="110" spans="7:9">
      <c r="G110" s="43"/>
      <c r="H110" s="43"/>
      <c r="I110" s="43"/>
    </row>
  </sheetData>
  <mergeCells count="16">
    <mergeCell ref="A1:L1"/>
    <mergeCell ref="A2:L2"/>
    <mergeCell ref="C109:K109"/>
    <mergeCell ref="A5:A20"/>
    <mergeCell ref="A21:A36"/>
    <mergeCell ref="A37:A52"/>
    <mergeCell ref="A54:A56"/>
    <mergeCell ref="A57:A62"/>
    <mergeCell ref="A63:A66"/>
    <mergeCell ref="A67:A76"/>
    <mergeCell ref="A77:A86"/>
    <mergeCell ref="A87:A90"/>
    <mergeCell ref="A91:A95"/>
    <mergeCell ref="A96:A101"/>
    <mergeCell ref="A102:A106"/>
    <mergeCell ref="L3:L4"/>
  </mergeCells>
  <conditionalFormatting sqref="C101">
    <cfRule type="expression" dxfId="0" priority="2">
      <formula>MOD(ROW(),2)=0</formula>
    </cfRule>
  </conditionalFormatting>
  <conditionalFormatting sqref="C19:C20">
    <cfRule type="expression" dxfId="0" priority="1">
      <formula>MOD(ROW(),2)=0</formula>
    </cfRule>
  </conditionalFormatting>
  <conditionalFormatting sqref="C35:C36">
    <cfRule type="expression" dxfId="0" priority="4">
      <formula>MOD(ROW(),2)=0</formula>
    </cfRule>
  </conditionalFormatting>
  <conditionalFormatting sqref="C84:C85">
    <cfRule type="expression" dxfId="0" priority="3">
      <formula>MOD(ROW(),2)=0</formula>
    </cfRule>
  </conditionalFormatting>
  <conditionalFormatting sqref="D5:D108">
    <cfRule type="duplicateValues" dxfId="1" priority="11"/>
  </conditionalFormatting>
  <conditionalFormatting sqref="E5:E108">
    <cfRule type="duplicateValues" dxfId="1" priority="9"/>
  </conditionalFormatting>
  <conditionalFormatting sqref="F5:F108">
    <cfRule type="duplicateValues" dxfId="1" priority="10"/>
  </conditionalFormatting>
  <conditionalFormatting sqref="G5:G108">
    <cfRule type="duplicateValues" dxfId="1" priority="12"/>
  </conditionalFormatting>
  <conditionalFormatting sqref="I5:I108">
    <cfRule type="duplicateValues" dxfId="1" priority="8"/>
  </conditionalFormatting>
  <conditionalFormatting sqref="J5:J108">
    <cfRule type="duplicateValues" dxfId="1" priority="7"/>
  </conditionalFormatting>
  <conditionalFormatting sqref="K5:K108">
    <cfRule type="duplicateValues" dxfId="1" priority="5"/>
  </conditionalFormatting>
  <conditionalFormatting sqref="B5:L18 D19:L20 B21:L34 D35:L36 B37:L83 D84:L85 B86:L100 D101:L101 B102:L108 B19:B20 B35:B36 B84:B85 B101">
    <cfRule type="expression" dxfId="2" priority="13">
      <formula>MOD(ROW(),2)=1</formula>
    </cfRule>
  </conditionalFormatting>
  <pageMargins left="0.2" right="0.2" top="0.25" bottom="0.2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0"/>
  <sheetViews>
    <sheetView zoomScale="144" zoomScaleNormal="144" workbookViewId="0">
      <pane xSplit="3" ySplit="4" topLeftCell="D49" activePane="bottomRight" state="frozen"/>
      <selection/>
      <selection pane="topRight"/>
      <selection pane="bottomLeft"/>
      <selection pane="bottomRight" activeCell="N52" sqref="N52"/>
    </sheetView>
  </sheetViews>
  <sheetFormatPr defaultColWidth="9" defaultRowHeight="14.5"/>
  <cols>
    <col min="1" max="1" width="9" customWidth="1"/>
    <col min="2" max="2" width="3.85454545454545" customWidth="1"/>
    <col min="3" max="3" width="6.57272727272727" style="1" customWidth="1"/>
    <col min="4" max="4" width="9.85454545454546" style="1" customWidth="1"/>
    <col min="5" max="5" width="10" style="1" customWidth="1"/>
    <col min="6" max="6" width="9.85454545454546" style="1" customWidth="1"/>
    <col min="7" max="7" width="10" style="65" customWidth="1"/>
    <col min="8" max="8" width="2.57272727272727" style="65" customWidth="1"/>
    <col min="9" max="9" width="9.85454545454546" style="65" customWidth="1"/>
    <col min="10" max="11" width="10.1363636363636" style="1" customWidth="1"/>
    <col min="12" max="12" width="5.70909090909091" style="1" customWidth="1"/>
  </cols>
  <sheetData>
    <row r="1" ht="23.45" customHeight="1" spans="1:12">
      <c r="A1" s="66" t="s">
        <v>218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9"/>
    </row>
    <row r="2" ht="23.1" customHeight="1" spans="1:12">
      <c r="A2" s="66" t="s">
        <v>219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9"/>
    </row>
    <row r="3" spans="1:12">
      <c r="A3" s="28" t="s">
        <v>2</v>
      </c>
      <c r="B3" s="28" t="s">
        <v>3</v>
      </c>
      <c r="C3" s="29" t="s">
        <v>4</v>
      </c>
      <c r="D3" s="30" t="s">
        <v>5</v>
      </c>
      <c r="E3" s="30" t="s">
        <v>6</v>
      </c>
      <c r="F3" s="30" t="s">
        <v>7</v>
      </c>
      <c r="G3" s="30" t="s">
        <v>8</v>
      </c>
      <c r="H3" s="30"/>
      <c r="I3" s="30" t="s">
        <v>9</v>
      </c>
      <c r="J3" s="30" t="s">
        <v>10</v>
      </c>
      <c r="K3" s="30" t="s">
        <v>11</v>
      </c>
      <c r="L3" s="38" t="s">
        <v>12</v>
      </c>
    </row>
    <row r="4" s="25" customFormat="1" ht="13" spans="1:12">
      <c r="A4" s="6" t="s">
        <v>2</v>
      </c>
      <c r="B4" s="6" t="s">
        <v>3</v>
      </c>
      <c r="C4" s="7" t="s">
        <v>4</v>
      </c>
      <c r="D4" s="31" t="s">
        <v>13</v>
      </c>
      <c r="E4" s="31" t="s">
        <v>14</v>
      </c>
      <c r="F4" s="31" t="s">
        <v>15</v>
      </c>
      <c r="G4" s="31" t="s">
        <v>16</v>
      </c>
      <c r="H4" s="32"/>
      <c r="I4" s="39" t="s">
        <v>17</v>
      </c>
      <c r="J4" s="39" t="s">
        <v>18</v>
      </c>
      <c r="K4" s="39" t="s">
        <v>19</v>
      </c>
      <c r="L4" s="38"/>
    </row>
    <row r="5" ht="15" customHeight="1" spans="1:12">
      <c r="A5" s="9" t="s">
        <v>20</v>
      </c>
      <c r="B5" s="9">
        <v>1</v>
      </c>
      <c r="C5" s="9" t="s">
        <v>21</v>
      </c>
      <c r="D5" s="34"/>
      <c r="E5" s="36"/>
      <c r="F5" s="34" t="s">
        <v>27</v>
      </c>
      <c r="G5" s="34" t="s">
        <v>26</v>
      </c>
      <c r="H5" s="36"/>
      <c r="I5" s="34"/>
      <c r="J5" s="34" t="s">
        <v>44</v>
      </c>
      <c r="K5" s="34"/>
      <c r="L5" s="40">
        <f t="shared" ref="L5:L71" si="0">COUNTIFS(D5:K5,"&gt;""")</f>
        <v>3</v>
      </c>
    </row>
    <row r="6" ht="15" customHeight="1" spans="1:12">
      <c r="A6" s="9"/>
      <c r="B6" s="9">
        <v>2</v>
      </c>
      <c r="C6" s="9" t="s">
        <v>25</v>
      </c>
      <c r="D6" s="34" t="s">
        <v>24</v>
      </c>
      <c r="E6" s="36"/>
      <c r="F6" s="34" t="s">
        <v>49</v>
      </c>
      <c r="G6" s="34"/>
      <c r="H6" s="36"/>
      <c r="I6" s="34" t="s">
        <v>53</v>
      </c>
      <c r="J6" s="34" t="s">
        <v>26</v>
      </c>
      <c r="K6" s="34"/>
      <c r="L6" s="40">
        <f t="shared" si="0"/>
        <v>4</v>
      </c>
    </row>
    <row r="7" ht="15" customHeight="1" spans="1:12">
      <c r="A7" s="9"/>
      <c r="B7" s="9">
        <v>3</v>
      </c>
      <c r="C7" s="9" t="s">
        <v>30</v>
      </c>
      <c r="D7" s="34" t="s">
        <v>38</v>
      </c>
      <c r="E7" s="36" t="s">
        <v>56</v>
      </c>
      <c r="F7" s="34"/>
      <c r="G7" s="34"/>
      <c r="H7" s="36"/>
      <c r="I7" s="34" t="s">
        <v>50</v>
      </c>
      <c r="J7" s="34" t="s">
        <v>32</v>
      </c>
      <c r="K7" s="34"/>
      <c r="L7" s="40">
        <f t="shared" si="0"/>
        <v>4</v>
      </c>
    </row>
    <row r="8" ht="15" customHeight="1" spans="1:12">
      <c r="A8" s="9"/>
      <c r="B8" s="9">
        <v>4</v>
      </c>
      <c r="C8" s="9" t="s">
        <v>35</v>
      </c>
      <c r="D8" s="34"/>
      <c r="E8" s="36" t="s">
        <v>33</v>
      </c>
      <c r="F8" s="34"/>
      <c r="G8" s="34" t="s">
        <v>34</v>
      </c>
      <c r="H8" s="36"/>
      <c r="I8" s="34" t="s">
        <v>31</v>
      </c>
      <c r="J8" s="34"/>
      <c r="K8" s="34" t="s">
        <v>65</v>
      </c>
      <c r="L8" s="40">
        <f t="shared" si="0"/>
        <v>4</v>
      </c>
    </row>
    <row r="9" ht="15" customHeight="1" spans="1:12">
      <c r="A9" s="9"/>
      <c r="B9" s="9">
        <v>5</v>
      </c>
      <c r="C9" s="9" t="s">
        <v>39</v>
      </c>
      <c r="D9" s="34" t="s">
        <v>23</v>
      </c>
      <c r="E9" s="36" t="s">
        <v>66</v>
      </c>
      <c r="F9" s="34"/>
      <c r="G9" s="34" t="s">
        <v>121</v>
      </c>
      <c r="H9" s="36"/>
      <c r="I9" s="34"/>
      <c r="J9" s="34" t="s">
        <v>41</v>
      </c>
      <c r="K9" s="34"/>
      <c r="L9" s="40">
        <f t="shared" si="0"/>
        <v>4</v>
      </c>
    </row>
    <row r="10" ht="15" customHeight="1" spans="1:12">
      <c r="A10" s="9"/>
      <c r="B10" s="9">
        <v>6</v>
      </c>
      <c r="C10" s="9" t="s">
        <v>43</v>
      </c>
      <c r="D10" s="42"/>
      <c r="E10" s="36"/>
      <c r="F10" s="34" t="s">
        <v>90</v>
      </c>
      <c r="G10" s="34" t="s">
        <v>22</v>
      </c>
      <c r="H10" s="36"/>
      <c r="I10" s="34"/>
      <c r="J10" s="37" t="s">
        <v>42</v>
      </c>
      <c r="K10" s="34"/>
      <c r="L10" s="40">
        <f t="shared" si="0"/>
        <v>3</v>
      </c>
    </row>
    <row r="11" ht="15" customHeight="1" spans="1:12">
      <c r="A11" s="9"/>
      <c r="B11" s="9">
        <v>7</v>
      </c>
      <c r="C11" s="9" t="s">
        <v>46</v>
      </c>
      <c r="D11" s="34"/>
      <c r="E11" s="36" t="s">
        <v>50</v>
      </c>
      <c r="F11" s="34" t="s">
        <v>41</v>
      </c>
      <c r="G11" s="34"/>
      <c r="H11" s="36"/>
      <c r="I11" s="34" t="s">
        <v>112</v>
      </c>
      <c r="J11" s="34" t="s">
        <v>58</v>
      </c>
      <c r="K11" s="34"/>
      <c r="L11" s="40">
        <f t="shared" si="0"/>
        <v>4</v>
      </c>
    </row>
    <row r="12" ht="15" customHeight="1" spans="1:12">
      <c r="A12" s="9"/>
      <c r="B12" s="9">
        <v>8</v>
      </c>
      <c r="C12" s="9" t="s">
        <v>51</v>
      </c>
      <c r="D12" s="34"/>
      <c r="E12" s="36" t="s">
        <v>104</v>
      </c>
      <c r="F12" s="34"/>
      <c r="G12" s="34" t="s">
        <v>52</v>
      </c>
      <c r="H12" s="36"/>
      <c r="I12" s="34" t="s">
        <v>75</v>
      </c>
      <c r="J12" s="34"/>
      <c r="K12" s="34" t="s">
        <v>56</v>
      </c>
      <c r="L12" s="40">
        <f t="shared" si="0"/>
        <v>4</v>
      </c>
    </row>
    <row r="13" ht="15" customHeight="1" spans="1:12">
      <c r="A13" s="9"/>
      <c r="B13" s="9">
        <v>9</v>
      </c>
      <c r="C13" s="9" t="s">
        <v>57</v>
      </c>
      <c r="D13" s="34"/>
      <c r="E13" s="36" t="s">
        <v>100</v>
      </c>
      <c r="F13" s="34" t="s">
        <v>89</v>
      </c>
      <c r="G13" s="34"/>
      <c r="H13" s="36"/>
      <c r="I13" s="34" t="s">
        <v>28</v>
      </c>
      <c r="J13" s="34"/>
      <c r="K13" s="34" t="s">
        <v>59</v>
      </c>
      <c r="L13" s="40">
        <f t="shared" si="0"/>
        <v>4</v>
      </c>
    </row>
    <row r="14" ht="15" customHeight="1" spans="1:12">
      <c r="A14" s="9"/>
      <c r="B14" s="9">
        <v>10</v>
      </c>
      <c r="C14" s="9" t="s">
        <v>63</v>
      </c>
      <c r="D14" s="34"/>
      <c r="E14" s="36" t="s">
        <v>65</v>
      </c>
      <c r="F14" s="34" t="s">
        <v>36</v>
      </c>
      <c r="G14" s="34"/>
      <c r="H14" s="36"/>
      <c r="I14" s="34"/>
      <c r="J14" s="34" t="s">
        <v>80</v>
      </c>
      <c r="K14" s="34"/>
      <c r="L14" s="40">
        <f t="shared" si="0"/>
        <v>3</v>
      </c>
    </row>
    <row r="15" ht="15" customHeight="1" spans="1:12">
      <c r="A15" s="9"/>
      <c r="B15" s="9">
        <v>11</v>
      </c>
      <c r="C15" s="9" t="s">
        <v>68</v>
      </c>
      <c r="D15" s="34" t="s">
        <v>60</v>
      </c>
      <c r="E15" s="36" t="s">
        <v>85</v>
      </c>
      <c r="F15" s="34"/>
      <c r="G15" s="34" t="s">
        <v>144</v>
      </c>
      <c r="H15" s="36"/>
      <c r="I15" s="34" t="s">
        <v>108</v>
      </c>
      <c r="J15" s="34"/>
      <c r="K15" s="34" t="s">
        <v>114</v>
      </c>
      <c r="L15" s="40">
        <f t="shared" si="0"/>
        <v>5</v>
      </c>
    </row>
    <row r="16" ht="15" customHeight="1" spans="1:12">
      <c r="A16" s="9"/>
      <c r="B16" s="9">
        <v>12</v>
      </c>
      <c r="C16" s="9" t="s">
        <v>72</v>
      </c>
      <c r="D16" s="34"/>
      <c r="E16" s="36" t="s">
        <v>111</v>
      </c>
      <c r="F16" s="34" t="s">
        <v>55</v>
      </c>
      <c r="G16" s="34"/>
      <c r="H16" s="36"/>
      <c r="I16" s="34" t="s">
        <v>121</v>
      </c>
      <c r="J16" s="34" t="s">
        <v>59</v>
      </c>
      <c r="K16" s="34"/>
      <c r="L16" s="40">
        <f t="shared" si="0"/>
        <v>4</v>
      </c>
    </row>
    <row r="17" ht="15" customHeight="1" spans="1:12">
      <c r="A17" s="9"/>
      <c r="B17" s="9">
        <v>13</v>
      </c>
      <c r="C17" s="9" t="s">
        <v>77</v>
      </c>
      <c r="D17" s="34"/>
      <c r="E17" s="68" t="s">
        <v>132</v>
      </c>
      <c r="F17" s="37" t="s">
        <v>129</v>
      </c>
      <c r="G17" s="34"/>
      <c r="H17" s="36"/>
      <c r="I17" s="34" t="s">
        <v>78</v>
      </c>
      <c r="J17" s="36" t="s">
        <v>73</v>
      </c>
      <c r="K17" s="34"/>
      <c r="L17" s="40">
        <f t="shared" si="0"/>
        <v>4</v>
      </c>
    </row>
    <row r="18" ht="15" customHeight="1" spans="1:12">
      <c r="A18" s="9"/>
      <c r="B18" s="9">
        <v>14</v>
      </c>
      <c r="C18" s="9" t="s">
        <v>79</v>
      </c>
      <c r="D18" s="34"/>
      <c r="E18" s="68" t="s">
        <v>107</v>
      </c>
      <c r="F18" s="37" t="s">
        <v>74</v>
      </c>
      <c r="G18" s="34"/>
      <c r="H18" s="36"/>
      <c r="I18" s="34" t="s">
        <v>81</v>
      </c>
      <c r="J18" s="36"/>
      <c r="K18" s="34" t="s">
        <v>54</v>
      </c>
      <c r="L18" s="40">
        <f t="shared" si="0"/>
        <v>4</v>
      </c>
    </row>
    <row r="19" ht="15" customHeight="1" spans="1:12">
      <c r="A19" s="9"/>
      <c r="B19" s="9">
        <v>15</v>
      </c>
      <c r="C19" s="10" t="s">
        <v>83</v>
      </c>
      <c r="D19" s="34" t="s">
        <v>97</v>
      </c>
      <c r="E19" s="68"/>
      <c r="F19" s="37" t="s">
        <v>114</v>
      </c>
      <c r="G19" s="34" t="s">
        <v>71</v>
      </c>
      <c r="H19" s="36"/>
      <c r="I19" s="34" t="s">
        <v>87</v>
      </c>
      <c r="J19" s="36"/>
      <c r="K19" s="34"/>
      <c r="L19" s="40">
        <f t="shared" si="0"/>
        <v>4</v>
      </c>
    </row>
    <row r="20" ht="15" customHeight="1" spans="1:12">
      <c r="A20" s="9"/>
      <c r="B20" s="9">
        <v>16</v>
      </c>
      <c r="C20" s="10" t="s">
        <v>88</v>
      </c>
      <c r="D20" s="34" t="s">
        <v>120</v>
      </c>
      <c r="E20" s="36"/>
      <c r="F20" s="34" t="s">
        <v>45</v>
      </c>
      <c r="G20" s="34"/>
      <c r="H20" s="36"/>
      <c r="I20" s="34" t="s">
        <v>91</v>
      </c>
      <c r="J20" s="34" t="s">
        <v>67</v>
      </c>
      <c r="K20" s="34"/>
      <c r="L20" s="40">
        <f t="shared" si="0"/>
        <v>4</v>
      </c>
    </row>
    <row r="21" ht="15" customHeight="1" spans="1:12">
      <c r="A21" s="13" t="s">
        <v>93</v>
      </c>
      <c r="B21" s="9">
        <v>1</v>
      </c>
      <c r="C21" s="9" t="s">
        <v>94</v>
      </c>
      <c r="D21" s="34" t="s">
        <v>80</v>
      </c>
      <c r="E21" s="33" t="s">
        <v>55</v>
      </c>
      <c r="F21" s="34"/>
      <c r="G21" s="34"/>
      <c r="H21" s="36"/>
      <c r="I21" s="34" t="s">
        <v>40</v>
      </c>
      <c r="J21" s="34"/>
      <c r="K21" s="34"/>
      <c r="L21" s="40">
        <f t="shared" si="0"/>
        <v>3</v>
      </c>
    </row>
    <row r="22" ht="15" customHeight="1" spans="1:12">
      <c r="A22" s="14"/>
      <c r="B22" s="9">
        <v>2</v>
      </c>
      <c r="C22" s="9" t="s">
        <v>95</v>
      </c>
      <c r="D22" s="34"/>
      <c r="E22" s="36" t="s">
        <v>64</v>
      </c>
      <c r="F22" s="34"/>
      <c r="G22" s="34" t="s">
        <v>41</v>
      </c>
      <c r="H22" s="36"/>
      <c r="I22" s="34" t="s">
        <v>60</v>
      </c>
      <c r="J22" s="34"/>
      <c r="K22" s="34" t="s">
        <v>26</v>
      </c>
      <c r="L22" s="40">
        <f t="shared" si="0"/>
        <v>4</v>
      </c>
    </row>
    <row r="23" ht="15" customHeight="1" spans="1:12">
      <c r="A23" s="14"/>
      <c r="B23" s="9">
        <v>3</v>
      </c>
      <c r="C23" s="9" t="s">
        <v>96</v>
      </c>
      <c r="D23" s="34" t="s">
        <v>28</v>
      </c>
      <c r="E23" s="36" t="s">
        <v>49</v>
      </c>
      <c r="F23" s="34"/>
      <c r="G23" s="34"/>
      <c r="H23" s="36"/>
      <c r="I23" s="34" t="s">
        <v>85</v>
      </c>
      <c r="J23" s="34"/>
      <c r="K23" s="34"/>
      <c r="L23" s="40">
        <f t="shared" si="0"/>
        <v>3</v>
      </c>
    </row>
    <row r="24" ht="15" customHeight="1" spans="1:12">
      <c r="A24" s="14"/>
      <c r="B24" s="9">
        <v>4</v>
      </c>
      <c r="C24" s="9" t="s">
        <v>98</v>
      </c>
      <c r="D24" s="34" t="s">
        <v>42</v>
      </c>
      <c r="E24" s="36"/>
      <c r="F24" s="34" t="s">
        <v>37</v>
      </c>
      <c r="G24" s="34" t="s">
        <v>59</v>
      </c>
      <c r="H24" s="36"/>
      <c r="I24" s="34"/>
      <c r="J24" s="34" t="s">
        <v>71</v>
      </c>
      <c r="K24" s="34"/>
      <c r="L24" s="40">
        <f t="shared" si="0"/>
        <v>4</v>
      </c>
    </row>
    <row r="25" ht="15" customHeight="1" spans="1:12">
      <c r="A25" s="14"/>
      <c r="B25" s="9">
        <v>5</v>
      </c>
      <c r="C25" s="9" t="s">
        <v>99</v>
      </c>
      <c r="D25" s="34" t="s">
        <v>48</v>
      </c>
      <c r="E25" s="36"/>
      <c r="F25" s="34" t="s">
        <v>73</v>
      </c>
      <c r="G25" s="34"/>
      <c r="H25" s="36"/>
      <c r="I25" s="34" t="s">
        <v>220</v>
      </c>
      <c r="J25" s="34" t="s">
        <v>45</v>
      </c>
      <c r="K25" s="34"/>
      <c r="L25" s="40">
        <f t="shared" si="0"/>
        <v>4</v>
      </c>
    </row>
    <row r="26" ht="15" customHeight="1" spans="1:12">
      <c r="A26" s="14"/>
      <c r="B26" s="9">
        <v>6</v>
      </c>
      <c r="C26" s="9" t="s">
        <v>101</v>
      </c>
      <c r="D26" s="34"/>
      <c r="E26" s="36" t="s">
        <v>144</v>
      </c>
      <c r="F26" s="34" t="s">
        <v>56</v>
      </c>
      <c r="G26" s="34"/>
      <c r="H26" s="36"/>
      <c r="I26" s="34"/>
      <c r="J26" s="34" t="s">
        <v>221</v>
      </c>
      <c r="K26" s="34" t="s">
        <v>31</v>
      </c>
      <c r="L26" s="40">
        <f t="shared" si="0"/>
        <v>4</v>
      </c>
    </row>
    <row r="27" ht="15" customHeight="1" spans="1:12">
      <c r="A27" s="14"/>
      <c r="B27" s="9">
        <v>7</v>
      </c>
      <c r="C27" s="9" t="s">
        <v>102</v>
      </c>
      <c r="D27" s="34" t="s">
        <v>40</v>
      </c>
      <c r="E27" s="36" t="s">
        <v>24</v>
      </c>
      <c r="F27" s="34"/>
      <c r="G27" s="34"/>
      <c r="H27" s="36"/>
      <c r="I27" s="34"/>
      <c r="J27" s="34" t="s">
        <v>90</v>
      </c>
      <c r="K27" s="34" t="s">
        <v>67</v>
      </c>
      <c r="L27" s="40">
        <f t="shared" si="0"/>
        <v>4</v>
      </c>
    </row>
    <row r="28" ht="15" customHeight="1" spans="1:12">
      <c r="A28" s="14"/>
      <c r="B28" s="9">
        <v>8</v>
      </c>
      <c r="C28" s="9" t="s">
        <v>103</v>
      </c>
      <c r="D28" s="34"/>
      <c r="E28" s="36" t="s">
        <v>48</v>
      </c>
      <c r="F28" s="34"/>
      <c r="G28" s="34" t="s">
        <v>104</v>
      </c>
      <c r="H28" s="36"/>
      <c r="I28" s="34" t="s">
        <v>92</v>
      </c>
      <c r="J28" s="34"/>
      <c r="K28" s="34" t="s">
        <v>38</v>
      </c>
      <c r="L28" s="40">
        <f t="shared" si="0"/>
        <v>4</v>
      </c>
    </row>
    <row r="29" ht="15" customHeight="1" spans="1:12">
      <c r="A29" s="14"/>
      <c r="B29" s="9">
        <v>9</v>
      </c>
      <c r="C29" s="9" t="s">
        <v>105</v>
      </c>
      <c r="D29" s="34" t="s">
        <v>66</v>
      </c>
      <c r="E29" s="36"/>
      <c r="F29" s="34" t="s">
        <v>132</v>
      </c>
      <c r="G29" s="37" t="s">
        <v>78</v>
      </c>
      <c r="H29" s="36"/>
      <c r="I29" s="34" t="s">
        <v>37</v>
      </c>
      <c r="J29" s="34"/>
      <c r="K29" s="34" t="s">
        <v>69</v>
      </c>
      <c r="L29" s="40">
        <f t="shared" si="0"/>
        <v>5</v>
      </c>
    </row>
    <row r="30" ht="15" customHeight="1" spans="1:12">
      <c r="A30" s="14"/>
      <c r="B30" s="9">
        <v>10</v>
      </c>
      <c r="C30" s="9" t="s">
        <v>106</v>
      </c>
      <c r="D30" s="34" t="s">
        <v>44</v>
      </c>
      <c r="E30" s="36" t="s">
        <v>22</v>
      </c>
      <c r="F30" s="34"/>
      <c r="G30" s="34" t="s">
        <v>107</v>
      </c>
      <c r="H30" s="36"/>
      <c r="I30" s="34"/>
      <c r="J30" s="34" t="s">
        <v>76</v>
      </c>
      <c r="K30" s="34"/>
      <c r="L30" s="40">
        <f t="shared" si="0"/>
        <v>4</v>
      </c>
    </row>
    <row r="31" ht="15" customHeight="1" spans="1:12">
      <c r="A31" s="14"/>
      <c r="B31" s="9">
        <v>11</v>
      </c>
      <c r="C31" s="9" t="s">
        <v>109</v>
      </c>
      <c r="D31" s="34" t="s">
        <v>50</v>
      </c>
      <c r="E31" s="36"/>
      <c r="F31" s="34" t="s">
        <v>29</v>
      </c>
      <c r="G31" s="34"/>
      <c r="H31" s="36"/>
      <c r="I31" s="34" t="s">
        <v>62</v>
      </c>
      <c r="J31" s="34"/>
      <c r="K31" s="34" t="s">
        <v>222</v>
      </c>
      <c r="L31" s="40">
        <f t="shared" si="0"/>
        <v>4</v>
      </c>
    </row>
    <row r="32" ht="15" customHeight="1" spans="1:12">
      <c r="A32" s="14"/>
      <c r="B32" s="9">
        <v>12</v>
      </c>
      <c r="C32" s="9" t="s">
        <v>110</v>
      </c>
      <c r="D32" s="34" t="s">
        <v>81</v>
      </c>
      <c r="E32" s="36"/>
      <c r="F32" s="34" t="s">
        <v>54</v>
      </c>
      <c r="G32" s="36" t="s">
        <v>31</v>
      </c>
      <c r="H32" s="36"/>
      <c r="I32" s="34"/>
      <c r="J32" s="34" t="s">
        <v>53</v>
      </c>
      <c r="K32" s="34"/>
      <c r="L32" s="40">
        <f t="shared" si="0"/>
        <v>4</v>
      </c>
    </row>
    <row r="33" ht="15" customHeight="1" spans="1:12">
      <c r="A33" s="14"/>
      <c r="B33" s="9">
        <v>13</v>
      </c>
      <c r="C33" s="9" t="s">
        <v>113</v>
      </c>
      <c r="D33" s="34"/>
      <c r="E33" s="36" t="s">
        <v>129</v>
      </c>
      <c r="F33" s="34" t="s">
        <v>33</v>
      </c>
      <c r="G33" s="34"/>
      <c r="H33" s="36"/>
      <c r="I33" s="34" t="s">
        <v>58</v>
      </c>
      <c r="J33" s="34" t="s">
        <v>223</v>
      </c>
      <c r="K33" s="34"/>
      <c r="L33" s="40">
        <f t="shared" si="0"/>
        <v>4</v>
      </c>
    </row>
    <row r="34" ht="15" customHeight="1" spans="1:12">
      <c r="A34" s="14"/>
      <c r="B34" s="9">
        <v>14</v>
      </c>
      <c r="C34" s="9" t="s">
        <v>116</v>
      </c>
      <c r="D34" s="34" t="s">
        <v>34</v>
      </c>
      <c r="E34" s="36"/>
      <c r="F34" s="34" t="s">
        <v>47</v>
      </c>
      <c r="G34" s="34" t="s">
        <v>89</v>
      </c>
      <c r="H34" s="36"/>
      <c r="I34" s="34" t="s">
        <v>33</v>
      </c>
      <c r="J34" s="34"/>
      <c r="K34" s="34" t="s">
        <v>224</v>
      </c>
      <c r="L34" s="40">
        <f t="shared" si="0"/>
        <v>5</v>
      </c>
    </row>
    <row r="35" ht="15" customHeight="1" spans="1:12">
      <c r="A35" s="14"/>
      <c r="B35" s="9">
        <v>15</v>
      </c>
      <c r="C35" s="10" t="s">
        <v>117</v>
      </c>
      <c r="D35" s="34" t="s">
        <v>135</v>
      </c>
      <c r="E35" s="36"/>
      <c r="F35" s="34" t="s">
        <v>65</v>
      </c>
      <c r="G35" s="34"/>
      <c r="H35" s="36"/>
      <c r="I35" s="34" t="s">
        <v>76</v>
      </c>
      <c r="J35" s="34"/>
      <c r="K35" s="34" t="s">
        <v>91</v>
      </c>
      <c r="L35" s="40">
        <f t="shared" si="0"/>
        <v>4</v>
      </c>
    </row>
    <row r="36" ht="15" customHeight="1" spans="1:12">
      <c r="A36" s="15"/>
      <c r="B36" s="9">
        <v>16</v>
      </c>
      <c r="C36" s="10" t="s">
        <v>119</v>
      </c>
      <c r="D36" s="34" t="s">
        <v>75</v>
      </c>
      <c r="E36" s="36"/>
      <c r="F36" s="34" t="s">
        <v>121</v>
      </c>
      <c r="G36" s="34"/>
      <c r="H36" s="36"/>
      <c r="I36" s="34" t="s">
        <v>138</v>
      </c>
      <c r="J36" s="34"/>
      <c r="K36" s="34" t="s">
        <v>36</v>
      </c>
      <c r="L36" s="40">
        <f t="shared" si="0"/>
        <v>4</v>
      </c>
    </row>
    <row r="37" ht="15" customHeight="1" spans="1:12">
      <c r="A37" s="9" t="s">
        <v>122</v>
      </c>
      <c r="B37" s="16">
        <v>1</v>
      </c>
      <c r="C37" s="9" t="s">
        <v>123</v>
      </c>
      <c r="D37" s="34"/>
      <c r="E37" s="36"/>
      <c r="F37" s="34"/>
      <c r="G37" s="34" t="s">
        <v>225</v>
      </c>
      <c r="H37" s="36"/>
      <c r="I37" s="34"/>
      <c r="J37" s="34"/>
      <c r="K37" s="34"/>
      <c r="L37" s="40">
        <f t="shared" si="0"/>
        <v>1</v>
      </c>
    </row>
    <row r="38" ht="15" customHeight="1" spans="1:12">
      <c r="A38" s="9"/>
      <c r="B38" s="16">
        <v>2</v>
      </c>
      <c r="C38" s="9" t="s">
        <v>124</v>
      </c>
      <c r="D38" s="34" t="s">
        <v>64</v>
      </c>
      <c r="E38" s="36"/>
      <c r="F38" s="34" t="s">
        <v>66</v>
      </c>
      <c r="G38" s="34"/>
      <c r="H38" s="36"/>
      <c r="I38" s="34" t="s">
        <v>23</v>
      </c>
      <c r="J38" s="34" t="s">
        <v>114</v>
      </c>
      <c r="K38" s="34"/>
      <c r="L38" s="40">
        <f t="shared" si="0"/>
        <v>4</v>
      </c>
    </row>
    <row r="39" ht="15" customHeight="1" spans="1:12">
      <c r="A39" s="9"/>
      <c r="B39" s="16">
        <v>3</v>
      </c>
      <c r="C39" s="9" t="s">
        <v>125</v>
      </c>
      <c r="D39" s="34" t="s">
        <v>55</v>
      </c>
      <c r="E39" s="36" t="s">
        <v>27</v>
      </c>
      <c r="F39" s="34"/>
      <c r="G39" s="34" t="s">
        <v>58</v>
      </c>
      <c r="H39" s="36"/>
      <c r="I39" s="34"/>
      <c r="J39" s="34"/>
      <c r="K39" s="34"/>
      <c r="L39" s="40">
        <f t="shared" si="0"/>
        <v>3</v>
      </c>
    </row>
    <row r="40" ht="15" customHeight="1" spans="1:12">
      <c r="A40" s="9"/>
      <c r="B40" s="16">
        <v>4</v>
      </c>
      <c r="C40" s="9" t="s">
        <v>126</v>
      </c>
      <c r="D40" s="34" t="s">
        <v>33</v>
      </c>
      <c r="E40" s="36"/>
      <c r="F40" s="34" t="s">
        <v>69</v>
      </c>
      <c r="G40" s="34"/>
      <c r="H40" s="36"/>
      <c r="I40" s="34" t="s">
        <v>32</v>
      </c>
      <c r="J40" s="34"/>
      <c r="K40" s="34" t="s">
        <v>73</v>
      </c>
      <c r="L40" s="40">
        <f t="shared" si="0"/>
        <v>4</v>
      </c>
    </row>
    <row r="41" ht="15" customHeight="1" spans="1:12">
      <c r="A41" s="9"/>
      <c r="B41" s="16">
        <v>5</v>
      </c>
      <c r="C41" s="9" t="s">
        <v>127</v>
      </c>
      <c r="D41" s="34"/>
      <c r="E41" s="36" t="s">
        <v>60</v>
      </c>
      <c r="F41" s="34" t="s">
        <v>53</v>
      </c>
      <c r="G41" s="34"/>
      <c r="H41" s="36"/>
      <c r="I41" s="34" t="s">
        <v>42</v>
      </c>
      <c r="J41" s="34" t="s">
        <v>40</v>
      </c>
      <c r="K41" s="34"/>
      <c r="L41" s="40">
        <f t="shared" si="0"/>
        <v>4</v>
      </c>
    </row>
    <row r="42" ht="15" customHeight="1" spans="1:12">
      <c r="A42" s="9"/>
      <c r="B42" s="16">
        <v>6</v>
      </c>
      <c r="C42" s="9" t="s">
        <v>128</v>
      </c>
      <c r="D42" s="34" t="s">
        <v>52</v>
      </c>
      <c r="E42" s="36"/>
      <c r="F42" s="34"/>
      <c r="G42" s="34" t="s">
        <v>55</v>
      </c>
      <c r="H42" s="36"/>
      <c r="I42" s="34" t="s">
        <v>45</v>
      </c>
      <c r="J42" s="34"/>
      <c r="K42" s="36" t="s">
        <v>41</v>
      </c>
      <c r="L42" s="40">
        <f t="shared" si="0"/>
        <v>4</v>
      </c>
    </row>
    <row r="43" ht="15" customHeight="1" spans="1:12">
      <c r="A43" s="9"/>
      <c r="B43" s="16">
        <v>7</v>
      </c>
      <c r="C43" s="9" t="s">
        <v>130</v>
      </c>
      <c r="D43" s="34"/>
      <c r="E43" s="36" t="s">
        <v>34</v>
      </c>
      <c r="F43" s="34"/>
      <c r="G43" s="34" t="s">
        <v>27</v>
      </c>
      <c r="H43" s="36"/>
      <c r="I43" s="34"/>
      <c r="J43" s="34" t="s">
        <v>31</v>
      </c>
      <c r="K43" s="34" t="s">
        <v>49</v>
      </c>
      <c r="L43" s="40">
        <f t="shared" si="0"/>
        <v>4</v>
      </c>
    </row>
    <row r="44" ht="15" customHeight="1" spans="1:12">
      <c r="A44" s="9"/>
      <c r="B44" s="16">
        <v>8</v>
      </c>
      <c r="C44" s="9" t="s">
        <v>131</v>
      </c>
      <c r="D44" s="34"/>
      <c r="E44" s="36" t="s">
        <v>120</v>
      </c>
      <c r="F44" s="34"/>
      <c r="G44" s="34" t="s">
        <v>100</v>
      </c>
      <c r="H44" s="36"/>
      <c r="I44" s="34" t="s">
        <v>115</v>
      </c>
      <c r="J44" s="34" t="s">
        <v>108</v>
      </c>
      <c r="K44" s="34"/>
      <c r="L44" s="40">
        <f t="shared" si="0"/>
        <v>4</v>
      </c>
    </row>
    <row r="45" ht="15" customHeight="1" spans="1:12">
      <c r="A45" s="9"/>
      <c r="B45" s="16">
        <v>9</v>
      </c>
      <c r="C45" s="9" t="s">
        <v>133</v>
      </c>
      <c r="D45" s="34" t="s">
        <v>71</v>
      </c>
      <c r="E45" s="36"/>
      <c r="F45" s="34" t="s">
        <v>26</v>
      </c>
      <c r="G45" s="34" t="s">
        <v>65</v>
      </c>
      <c r="H45" s="36"/>
      <c r="I45" s="34"/>
      <c r="J45" s="34" t="s">
        <v>33</v>
      </c>
      <c r="K45" s="34"/>
      <c r="L45" s="40">
        <f t="shared" si="0"/>
        <v>4</v>
      </c>
    </row>
    <row r="46" ht="15" customHeight="1" spans="1:12">
      <c r="A46" s="9"/>
      <c r="B46" s="16">
        <v>10</v>
      </c>
      <c r="C46" s="9" t="s">
        <v>134</v>
      </c>
      <c r="D46" s="34" t="s">
        <v>78</v>
      </c>
      <c r="E46" s="36"/>
      <c r="F46" s="34" t="s">
        <v>28</v>
      </c>
      <c r="G46" s="34" t="s">
        <v>135</v>
      </c>
      <c r="H46" s="36"/>
      <c r="I46" s="34"/>
      <c r="J46" s="34" t="s">
        <v>22</v>
      </c>
      <c r="K46" s="34" t="s">
        <v>37</v>
      </c>
      <c r="L46" s="40">
        <f t="shared" si="0"/>
        <v>5</v>
      </c>
    </row>
    <row r="47" ht="15" customHeight="1" spans="1:12">
      <c r="A47" s="9"/>
      <c r="B47" s="16">
        <v>11</v>
      </c>
      <c r="C47" s="9" t="s">
        <v>136</v>
      </c>
      <c r="D47" s="34"/>
      <c r="E47" s="36" t="s">
        <v>44</v>
      </c>
      <c r="F47" s="34"/>
      <c r="G47" s="37" t="s">
        <v>38</v>
      </c>
      <c r="H47" s="36"/>
      <c r="I47" s="34" t="s">
        <v>90</v>
      </c>
      <c r="J47" s="34" t="s">
        <v>86</v>
      </c>
      <c r="K47" s="34"/>
      <c r="L47" s="40">
        <f t="shared" si="0"/>
        <v>4</v>
      </c>
    </row>
    <row r="48" ht="15" customHeight="1" spans="1:12">
      <c r="A48" s="9"/>
      <c r="B48" s="16">
        <v>12</v>
      </c>
      <c r="C48" s="9" t="s">
        <v>137</v>
      </c>
      <c r="D48" s="34" t="s">
        <v>107</v>
      </c>
      <c r="E48" s="36" t="s">
        <v>81</v>
      </c>
      <c r="F48" s="34"/>
      <c r="G48" s="34" t="s">
        <v>54</v>
      </c>
      <c r="H48" s="36"/>
      <c r="I48" s="37" t="s">
        <v>56</v>
      </c>
      <c r="J48" s="34"/>
      <c r="K48" s="34" t="s">
        <v>138</v>
      </c>
      <c r="L48" s="40">
        <f t="shared" si="0"/>
        <v>5</v>
      </c>
    </row>
    <row r="49" ht="15" customHeight="1" spans="1:12">
      <c r="A49" s="9"/>
      <c r="B49" s="16">
        <v>13</v>
      </c>
      <c r="C49" s="9" t="s">
        <v>139</v>
      </c>
      <c r="D49" s="34" t="s">
        <v>104</v>
      </c>
      <c r="E49" s="36"/>
      <c r="F49" s="34" t="s">
        <v>85</v>
      </c>
      <c r="G49" s="34" t="s">
        <v>69</v>
      </c>
      <c r="H49" s="36"/>
      <c r="I49" s="34" t="s">
        <v>82</v>
      </c>
      <c r="J49" s="34"/>
      <c r="K49" s="34"/>
      <c r="L49" s="40">
        <f t="shared" si="0"/>
        <v>4</v>
      </c>
    </row>
    <row r="50" ht="15" customHeight="1" spans="1:12">
      <c r="A50" s="9"/>
      <c r="B50" s="9">
        <v>14</v>
      </c>
      <c r="C50" s="9" t="s">
        <v>141</v>
      </c>
      <c r="D50" s="37" t="s">
        <v>59</v>
      </c>
      <c r="E50" s="33" t="s">
        <v>97</v>
      </c>
      <c r="F50" s="37"/>
      <c r="G50" s="1" t="s">
        <v>75</v>
      </c>
      <c r="H50" s="37"/>
      <c r="I50" s="37" t="s">
        <v>89</v>
      </c>
      <c r="J50" s="37"/>
      <c r="K50" s="37" t="s">
        <v>87</v>
      </c>
      <c r="L50" s="40">
        <f t="shared" si="0"/>
        <v>5</v>
      </c>
    </row>
    <row r="51" ht="15" customHeight="1" spans="1:12">
      <c r="A51" s="9"/>
      <c r="B51" s="16">
        <v>15</v>
      </c>
      <c r="C51" s="9" t="s">
        <v>142</v>
      </c>
      <c r="D51" s="37" t="s">
        <v>74</v>
      </c>
      <c r="E51" s="33"/>
      <c r="F51" s="37" t="s">
        <v>24</v>
      </c>
      <c r="G51" s="1"/>
      <c r="H51" s="37"/>
      <c r="I51" s="37" t="s">
        <v>67</v>
      </c>
      <c r="J51" s="37" t="s">
        <v>36</v>
      </c>
      <c r="K51" s="37"/>
      <c r="L51" s="40">
        <f t="shared" si="0"/>
        <v>4</v>
      </c>
    </row>
    <row r="52" ht="15" customHeight="1" spans="1:12">
      <c r="A52" s="9"/>
      <c r="B52" s="9">
        <v>16</v>
      </c>
      <c r="C52" s="9" t="s">
        <v>143</v>
      </c>
      <c r="D52" s="34" t="s">
        <v>47</v>
      </c>
      <c r="E52" s="36"/>
      <c r="F52" s="34" t="s">
        <v>84</v>
      </c>
      <c r="G52" s="34"/>
      <c r="H52" s="36"/>
      <c r="I52" s="34" t="s">
        <v>70</v>
      </c>
      <c r="J52" s="34"/>
      <c r="K52" s="34" t="s">
        <v>62</v>
      </c>
      <c r="L52" s="40">
        <f t="shared" si="0"/>
        <v>4</v>
      </c>
    </row>
    <row r="53" ht="15" customHeight="1" spans="1:12">
      <c r="A53" s="17" t="s">
        <v>145</v>
      </c>
      <c r="B53" s="9">
        <v>1</v>
      </c>
      <c r="C53" s="10" t="s">
        <v>146</v>
      </c>
      <c r="D53" s="34" t="s">
        <v>26</v>
      </c>
      <c r="E53" s="36" t="s">
        <v>69</v>
      </c>
      <c r="F53" s="34"/>
      <c r="G53" s="34" t="s">
        <v>42</v>
      </c>
      <c r="H53" s="36"/>
      <c r="I53" s="34" t="s">
        <v>49</v>
      </c>
      <c r="J53" s="34"/>
      <c r="K53" s="34"/>
      <c r="L53" s="40">
        <f t="shared" si="0"/>
        <v>4</v>
      </c>
    </row>
    <row r="54" ht="15" customHeight="1" spans="1:12">
      <c r="A54" s="13" t="s">
        <v>147</v>
      </c>
      <c r="B54" s="9">
        <v>2</v>
      </c>
      <c r="C54" s="10" t="s">
        <v>148</v>
      </c>
      <c r="D54" s="34"/>
      <c r="E54" s="36" t="s">
        <v>41</v>
      </c>
      <c r="F54" s="34"/>
      <c r="G54" s="34" t="s">
        <v>44</v>
      </c>
      <c r="H54" s="36"/>
      <c r="I54" s="34"/>
      <c r="J54" s="34" t="s">
        <v>50</v>
      </c>
      <c r="K54" s="34" t="s">
        <v>66</v>
      </c>
      <c r="L54" s="40">
        <f t="shared" si="0"/>
        <v>4</v>
      </c>
    </row>
    <row r="55" ht="15" customHeight="1" spans="1:12">
      <c r="A55" s="14"/>
      <c r="B55" s="9">
        <v>3</v>
      </c>
      <c r="C55" s="10" t="s">
        <v>149</v>
      </c>
      <c r="D55" s="34" t="s">
        <v>22</v>
      </c>
      <c r="E55" s="36"/>
      <c r="F55" s="34" t="s">
        <v>78</v>
      </c>
      <c r="G55" s="34"/>
      <c r="H55" s="36"/>
      <c r="I55" s="34"/>
      <c r="J55" s="34" t="s">
        <v>38</v>
      </c>
      <c r="K55" s="34" t="s">
        <v>58</v>
      </c>
      <c r="L55" s="40">
        <f t="shared" si="0"/>
        <v>4</v>
      </c>
    </row>
    <row r="56" ht="15" customHeight="1" spans="1:12">
      <c r="A56" s="15"/>
      <c r="B56" s="9">
        <v>4</v>
      </c>
      <c r="C56" s="10" t="s">
        <v>150</v>
      </c>
      <c r="D56" s="36" t="s">
        <v>36</v>
      </c>
      <c r="F56" s="34" t="s">
        <v>104</v>
      </c>
      <c r="G56" s="34" t="s">
        <v>114</v>
      </c>
      <c r="H56" s="36"/>
      <c r="I56" s="34"/>
      <c r="J56" s="34" t="s">
        <v>34</v>
      </c>
      <c r="K56" s="60"/>
      <c r="L56" s="40">
        <f t="shared" si="0"/>
        <v>4</v>
      </c>
    </row>
    <row r="57" ht="15" customHeight="1" spans="1:12">
      <c r="A57" s="13" t="s">
        <v>151</v>
      </c>
      <c r="B57" s="9">
        <v>5</v>
      </c>
      <c r="C57" s="10" t="s">
        <v>152</v>
      </c>
      <c r="D57" s="34" t="s">
        <v>69</v>
      </c>
      <c r="E57" s="36"/>
      <c r="F57" s="34"/>
      <c r="G57" s="34" t="s">
        <v>53</v>
      </c>
      <c r="H57" s="36"/>
      <c r="I57" s="34"/>
      <c r="J57" s="37" t="s">
        <v>121</v>
      </c>
      <c r="K57" s="34"/>
      <c r="L57" s="40">
        <f t="shared" si="0"/>
        <v>3</v>
      </c>
    </row>
    <row r="58" ht="15" customHeight="1" spans="1:12">
      <c r="A58" s="14"/>
      <c r="B58" s="9">
        <v>6</v>
      </c>
      <c r="C58" s="10" t="s">
        <v>153</v>
      </c>
      <c r="D58" s="34" t="s">
        <v>56</v>
      </c>
      <c r="E58" s="36"/>
      <c r="F58" s="34" t="s">
        <v>81</v>
      </c>
      <c r="G58" s="34"/>
      <c r="H58" s="36"/>
      <c r="I58" s="34" t="s">
        <v>26</v>
      </c>
      <c r="J58" s="34" t="s">
        <v>89</v>
      </c>
      <c r="K58" s="34"/>
      <c r="L58" s="40">
        <f t="shared" si="0"/>
        <v>4</v>
      </c>
    </row>
    <row r="59" ht="15" customHeight="1" spans="1:12">
      <c r="A59" s="14"/>
      <c r="B59" s="9">
        <v>7</v>
      </c>
      <c r="C59" s="10" t="s">
        <v>154</v>
      </c>
      <c r="D59" s="34" t="s">
        <v>49</v>
      </c>
      <c r="E59" s="36"/>
      <c r="F59" s="34" t="s">
        <v>100</v>
      </c>
      <c r="G59" s="34" t="s">
        <v>23</v>
      </c>
      <c r="H59" s="36"/>
      <c r="I59" s="34"/>
      <c r="J59" s="42"/>
      <c r="K59" s="34" t="s">
        <v>33</v>
      </c>
      <c r="L59" s="40">
        <f t="shared" si="0"/>
        <v>4</v>
      </c>
    </row>
    <row r="60" ht="15" customHeight="1" spans="1:12">
      <c r="A60" s="14"/>
      <c r="B60" s="9">
        <v>8</v>
      </c>
      <c r="C60" s="10" t="s">
        <v>155</v>
      </c>
      <c r="D60" s="34" t="s">
        <v>27</v>
      </c>
      <c r="E60" s="36"/>
      <c r="F60" s="34" t="s">
        <v>97</v>
      </c>
      <c r="G60" s="34" t="s">
        <v>48</v>
      </c>
      <c r="H60" s="36"/>
      <c r="I60" s="42"/>
      <c r="J60" s="34"/>
      <c r="K60" s="34" t="s">
        <v>60</v>
      </c>
      <c r="L60" s="40">
        <f t="shared" si="0"/>
        <v>4</v>
      </c>
    </row>
    <row r="61" ht="15" customHeight="1" spans="1:12">
      <c r="A61" s="14"/>
      <c r="B61" s="9">
        <v>9</v>
      </c>
      <c r="C61" s="10" t="s">
        <v>156</v>
      </c>
      <c r="D61" s="34" t="s">
        <v>90</v>
      </c>
      <c r="E61" s="36" t="s">
        <v>52</v>
      </c>
      <c r="F61" s="34"/>
      <c r="G61" s="34" t="s">
        <v>74</v>
      </c>
      <c r="H61" s="36"/>
      <c r="I61" s="36" t="s">
        <v>55</v>
      </c>
      <c r="J61" s="34"/>
      <c r="K61" s="34" t="s">
        <v>29</v>
      </c>
      <c r="L61" s="40">
        <f t="shared" si="0"/>
        <v>5</v>
      </c>
    </row>
    <row r="62" ht="15" customHeight="1" spans="1:12">
      <c r="A62" s="15"/>
      <c r="B62" s="9">
        <v>10</v>
      </c>
      <c r="C62" s="10" t="s">
        <v>157</v>
      </c>
      <c r="D62" s="34" t="s">
        <v>45</v>
      </c>
      <c r="E62" s="36" t="s">
        <v>32</v>
      </c>
      <c r="F62" s="34"/>
      <c r="G62" s="34" t="s">
        <v>47</v>
      </c>
      <c r="H62" s="36"/>
      <c r="I62" s="34" t="s">
        <v>73</v>
      </c>
      <c r="J62" s="34"/>
      <c r="K62" s="34"/>
      <c r="L62" s="40">
        <f t="shared" si="0"/>
        <v>4</v>
      </c>
    </row>
    <row r="63" ht="15" customHeight="1" spans="1:12">
      <c r="A63" s="13" t="s">
        <v>158</v>
      </c>
      <c r="B63" s="9">
        <v>11</v>
      </c>
      <c r="C63" s="10" t="s">
        <v>159</v>
      </c>
      <c r="D63" s="34" t="s">
        <v>31</v>
      </c>
      <c r="E63" s="36" t="s">
        <v>26</v>
      </c>
      <c r="F63" s="34"/>
      <c r="G63" s="34" t="s">
        <v>33</v>
      </c>
      <c r="H63" s="36"/>
      <c r="I63" s="34"/>
      <c r="J63" s="34" t="s">
        <v>85</v>
      </c>
      <c r="K63" s="34"/>
      <c r="L63" s="40">
        <f t="shared" si="0"/>
        <v>4</v>
      </c>
    </row>
    <row r="64" ht="15" customHeight="1" spans="1:12">
      <c r="A64" s="14"/>
      <c r="B64" s="9">
        <v>12</v>
      </c>
      <c r="C64" s="10" t="s">
        <v>160</v>
      </c>
      <c r="D64" s="34"/>
      <c r="E64" s="36" t="s">
        <v>75</v>
      </c>
      <c r="F64" s="34" t="s">
        <v>40</v>
      </c>
      <c r="G64" s="34"/>
      <c r="H64" s="36"/>
      <c r="I64" s="34" t="s">
        <v>24</v>
      </c>
      <c r="J64" s="34" t="s">
        <v>27</v>
      </c>
      <c r="K64" s="34"/>
      <c r="L64" s="40">
        <f t="shared" si="0"/>
        <v>4</v>
      </c>
    </row>
    <row r="65" ht="15" customHeight="1" spans="1:12">
      <c r="A65" s="14"/>
      <c r="B65" s="9">
        <v>13</v>
      </c>
      <c r="C65" s="10" t="s">
        <v>161</v>
      </c>
      <c r="D65" s="34" t="s">
        <v>73</v>
      </c>
      <c r="E65" s="36" t="s">
        <v>84</v>
      </c>
      <c r="F65" s="34"/>
      <c r="G65" s="34"/>
      <c r="H65" s="36"/>
      <c r="I65" s="34" t="s">
        <v>66</v>
      </c>
      <c r="J65" s="34"/>
      <c r="K65" s="34" t="s">
        <v>55</v>
      </c>
      <c r="L65" s="40">
        <f t="shared" si="0"/>
        <v>4</v>
      </c>
    </row>
    <row r="66" ht="15" customHeight="1" spans="1:12">
      <c r="A66" s="15"/>
      <c r="B66" s="9">
        <v>14</v>
      </c>
      <c r="C66" s="10" t="s">
        <v>162</v>
      </c>
      <c r="D66" s="34" t="s">
        <v>58</v>
      </c>
      <c r="E66" s="36" t="s">
        <v>71</v>
      </c>
      <c r="F66" s="34"/>
      <c r="G66" s="34" t="s">
        <v>37</v>
      </c>
      <c r="H66" s="36"/>
      <c r="I66" s="34"/>
      <c r="J66" s="37"/>
      <c r="K66" s="34" t="s">
        <v>22</v>
      </c>
      <c r="L66" s="40">
        <f t="shared" si="0"/>
        <v>4</v>
      </c>
    </row>
    <row r="67" ht="15" customHeight="1" spans="1:12">
      <c r="A67" s="14" t="s">
        <v>163</v>
      </c>
      <c r="B67" s="9">
        <v>1</v>
      </c>
      <c r="C67" s="9" t="s">
        <v>164</v>
      </c>
      <c r="D67" s="34" t="s">
        <v>54</v>
      </c>
      <c r="E67" s="36" t="s">
        <v>73</v>
      </c>
      <c r="F67" s="34"/>
      <c r="G67" s="34" t="s">
        <v>50</v>
      </c>
      <c r="H67" s="36"/>
      <c r="I67" s="34"/>
      <c r="J67" s="36" t="s">
        <v>64</v>
      </c>
      <c r="K67" s="34"/>
      <c r="L67" s="40">
        <f t="shared" si="0"/>
        <v>4</v>
      </c>
    </row>
    <row r="68" ht="15" customHeight="1" spans="1:12">
      <c r="A68" s="21"/>
      <c r="B68" s="9">
        <v>2</v>
      </c>
      <c r="C68" s="9" t="s">
        <v>166</v>
      </c>
      <c r="D68" s="34"/>
      <c r="E68" s="36" t="s">
        <v>31</v>
      </c>
      <c r="F68" s="34"/>
      <c r="G68" s="34" t="s">
        <v>56</v>
      </c>
      <c r="H68" s="36"/>
      <c r="I68" s="34" t="s">
        <v>54</v>
      </c>
      <c r="J68" s="34"/>
      <c r="K68" s="34" t="s">
        <v>64</v>
      </c>
      <c r="L68" s="40">
        <f t="shared" si="0"/>
        <v>4</v>
      </c>
    </row>
    <row r="69" ht="15" customHeight="1" spans="1:12">
      <c r="A69" s="21"/>
      <c r="B69" s="9">
        <v>3</v>
      </c>
      <c r="C69" s="9" t="s">
        <v>167</v>
      </c>
      <c r="D69" s="34"/>
      <c r="E69" s="36" t="s">
        <v>54</v>
      </c>
      <c r="F69" s="34"/>
      <c r="G69" s="34"/>
      <c r="H69" s="36"/>
      <c r="I69" s="34"/>
      <c r="J69" s="34"/>
      <c r="K69" s="34"/>
      <c r="L69" s="40">
        <f t="shared" si="0"/>
        <v>1</v>
      </c>
    </row>
    <row r="70" ht="15" customHeight="1" spans="1:12">
      <c r="A70" s="21"/>
      <c r="B70" s="9">
        <v>4</v>
      </c>
      <c r="C70" s="9" t="s">
        <v>168</v>
      </c>
      <c r="D70" s="34" t="s">
        <v>132</v>
      </c>
      <c r="E70" s="36"/>
      <c r="F70" s="34" t="s">
        <v>75</v>
      </c>
      <c r="G70" s="34"/>
      <c r="H70" s="36"/>
      <c r="I70" s="34" t="s">
        <v>80</v>
      </c>
      <c r="J70" s="1" t="s">
        <v>24</v>
      </c>
      <c r="K70" s="34"/>
      <c r="L70" s="40">
        <f t="shared" si="0"/>
        <v>4</v>
      </c>
    </row>
    <row r="71" ht="15" customHeight="1" spans="1:12">
      <c r="A71" s="21"/>
      <c r="B71" s="9">
        <v>5</v>
      </c>
      <c r="C71" s="9" t="s">
        <v>169</v>
      </c>
      <c r="D71" s="34"/>
      <c r="E71" s="36" t="s">
        <v>90</v>
      </c>
      <c r="F71" s="34"/>
      <c r="G71" s="34" t="s">
        <v>40</v>
      </c>
      <c r="H71" s="36"/>
      <c r="I71" s="34" t="s">
        <v>44</v>
      </c>
      <c r="J71" s="34"/>
      <c r="K71" s="34" t="s">
        <v>27</v>
      </c>
      <c r="L71" s="40">
        <f t="shared" si="0"/>
        <v>4</v>
      </c>
    </row>
    <row r="72" ht="15" customHeight="1" spans="1:12">
      <c r="A72" s="21"/>
      <c r="B72" s="9">
        <v>6</v>
      </c>
      <c r="C72" s="9" t="s">
        <v>170</v>
      </c>
      <c r="D72" s="34"/>
      <c r="E72" s="36"/>
      <c r="F72" s="34" t="s">
        <v>48</v>
      </c>
      <c r="G72" s="34" t="s">
        <v>81</v>
      </c>
      <c r="H72" s="36"/>
      <c r="I72" s="34" t="s">
        <v>59</v>
      </c>
      <c r="J72" s="34"/>
      <c r="K72" s="34" t="s">
        <v>34</v>
      </c>
      <c r="L72" s="40">
        <f t="shared" ref="L72:L107" si="1">COUNTIFS(D72:K72,"&gt;""")</f>
        <v>4</v>
      </c>
    </row>
    <row r="73" ht="15" customHeight="1" spans="1:12">
      <c r="A73" s="21"/>
      <c r="B73" s="9">
        <v>7</v>
      </c>
      <c r="C73" s="9" t="s">
        <v>171</v>
      </c>
      <c r="D73" s="34" t="s">
        <v>89</v>
      </c>
      <c r="E73" s="36" t="s">
        <v>42</v>
      </c>
      <c r="F73" s="34"/>
      <c r="G73" s="34" t="s">
        <v>45</v>
      </c>
      <c r="H73" s="36"/>
      <c r="I73" s="34"/>
      <c r="J73" s="34" t="s">
        <v>49</v>
      </c>
      <c r="K73" s="34" t="s">
        <v>64</v>
      </c>
      <c r="L73" s="40">
        <f t="shared" si="1"/>
        <v>5</v>
      </c>
    </row>
    <row r="74" ht="15" customHeight="1" spans="1:12">
      <c r="A74" s="21"/>
      <c r="B74" s="9">
        <v>8</v>
      </c>
      <c r="C74" s="9" t="s">
        <v>172</v>
      </c>
      <c r="D74" s="34" t="s">
        <v>85</v>
      </c>
      <c r="E74" s="36" t="s">
        <v>114</v>
      </c>
      <c r="F74" s="34"/>
      <c r="G74" s="34"/>
      <c r="H74" s="36"/>
      <c r="I74" s="34" t="s">
        <v>54</v>
      </c>
      <c r="J74" s="34" t="s">
        <v>28</v>
      </c>
      <c r="K74" s="34"/>
      <c r="L74" s="40">
        <f t="shared" si="1"/>
        <v>4</v>
      </c>
    </row>
    <row r="75" ht="15" customHeight="1" spans="1:12">
      <c r="A75" s="21"/>
      <c r="B75" s="9">
        <v>9</v>
      </c>
      <c r="C75" s="9" t="s">
        <v>173</v>
      </c>
      <c r="D75" s="34" t="s">
        <v>37</v>
      </c>
      <c r="E75" s="36" t="s">
        <v>78</v>
      </c>
      <c r="F75" s="34"/>
      <c r="G75" s="34" t="s">
        <v>36</v>
      </c>
      <c r="H75" s="36"/>
      <c r="I75" s="34" t="s">
        <v>29</v>
      </c>
      <c r="J75" s="34"/>
      <c r="K75" s="34"/>
      <c r="L75" s="40">
        <f t="shared" si="1"/>
        <v>4</v>
      </c>
    </row>
    <row r="76" ht="15" customHeight="1" spans="1:12">
      <c r="A76" s="21"/>
      <c r="B76" s="9">
        <v>10</v>
      </c>
      <c r="C76" s="9" t="s">
        <v>174</v>
      </c>
      <c r="D76" s="34" t="s">
        <v>65</v>
      </c>
      <c r="E76" s="36"/>
      <c r="F76" s="34" t="s">
        <v>71</v>
      </c>
      <c r="G76" s="34" t="s">
        <v>66</v>
      </c>
      <c r="H76" s="36"/>
      <c r="I76" s="34"/>
      <c r="J76" s="70" t="s">
        <v>55</v>
      </c>
      <c r="K76" s="34"/>
      <c r="L76" s="40">
        <f t="shared" si="1"/>
        <v>4</v>
      </c>
    </row>
    <row r="77" ht="15" customHeight="1" spans="1:12">
      <c r="A77" s="9" t="s">
        <v>175</v>
      </c>
      <c r="B77" s="9">
        <v>1</v>
      </c>
      <c r="C77" s="9" t="s">
        <v>176</v>
      </c>
      <c r="D77" s="34" t="s">
        <v>121</v>
      </c>
      <c r="E77" s="36"/>
      <c r="F77" s="34" t="s">
        <v>38</v>
      </c>
      <c r="G77" s="34" t="s">
        <v>97</v>
      </c>
      <c r="H77" s="36"/>
      <c r="I77" s="34"/>
      <c r="J77" s="34" t="s">
        <v>48</v>
      </c>
      <c r="K77" s="34"/>
      <c r="L77" s="40">
        <f t="shared" si="1"/>
        <v>4</v>
      </c>
    </row>
    <row r="78" ht="15" customHeight="1" spans="1:12">
      <c r="A78" s="9"/>
      <c r="B78" s="9">
        <v>2</v>
      </c>
      <c r="C78" s="9" t="s">
        <v>177</v>
      </c>
      <c r="D78" s="34"/>
      <c r="E78" s="36" t="s">
        <v>80</v>
      </c>
      <c r="F78" s="34"/>
      <c r="G78" s="34"/>
      <c r="H78" s="36"/>
      <c r="I78" s="34" t="s">
        <v>34</v>
      </c>
      <c r="J78" s="34" t="s">
        <v>37</v>
      </c>
      <c r="K78" s="34"/>
      <c r="L78" s="40">
        <f t="shared" si="1"/>
        <v>3</v>
      </c>
    </row>
    <row r="79" ht="15" customHeight="1" spans="1:12">
      <c r="A79" s="9"/>
      <c r="B79" s="9">
        <v>3</v>
      </c>
      <c r="C79" s="9" t="s">
        <v>178</v>
      </c>
      <c r="D79" s="34"/>
      <c r="E79" s="36" t="s">
        <v>74</v>
      </c>
      <c r="F79" s="34" t="s">
        <v>50</v>
      </c>
      <c r="G79" s="59"/>
      <c r="H79" s="36"/>
      <c r="I79" s="34"/>
      <c r="J79" s="34" t="s">
        <v>78</v>
      </c>
      <c r="K79" s="34" t="s">
        <v>23</v>
      </c>
      <c r="L79" s="40">
        <f t="shared" si="1"/>
        <v>4</v>
      </c>
    </row>
    <row r="80" ht="15" customHeight="1" spans="1:12">
      <c r="A80" s="9"/>
      <c r="B80" s="9">
        <v>4</v>
      </c>
      <c r="C80" s="9" t="s">
        <v>179</v>
      </c>
      <c r="D80" s="34"/>
      <c r="E80" s="36" t="s">
        <v>29</v>
      </c>
      <c r="F80" s="34"/>
      <c r="G80" s="34" t="s">
        <v>28</v>
      </c>
      <c r="H80" s="36"/>
      <c r="I80" s="34" t="s">
        <v>71</v>
      </c>
      <c r="J80" s="34"/>
      <c r="K80" s="34" t="s">
        <v>44</v>
      </c>
      <c r="L80" s="40">
        <f t="shared" si="1"/>
        <v>4</v>
      </c>
    </row>
    <row r="81" ht="15" customHeight="1" spans="1:12">
      <c r="A81" s="9"/>
      <c r="B81" s="9">
        <v>5</v>
      </c>
      <c r="C81" s="9" t="s">
        <v>180</v>
      </c>
      <c r="D81" s="34" t="s">
        <v>53</v>
      </c>
      <c r="E81" s="36" t="s">
        <v>45</v>
      </c>
      <c r="F81" s="34"/>
      <c r="G81" s="34" t="s">
        <v>73</v>
      </c>
      <c r="H81" s="36"/>
      <c r="I81" s="34"/>
      <c r="J81" s="34"/>
      <c r="K81" s="34" t="s">
        <v>42</v>
      </c>
      <c r="L81" s="40">
        <f t="shared" si="1"/>
        <v>4</v>
      </c>
    </row>
    <row r="82" ht="15" customHeight="1" spans="1:12">
      <c r="A82" s="9"/>
      <c r="B82" s="9">
        <v>6</v>
      </c>
      <c r="C82" s="9" t="s">
        <v>181</v>
      </c>
      <c r="D82" s="34" t="s">
        <v>144</v>
      </c>
      <c r="E82" s="36"/>
      <c r="F82" s="34" t="s">
        <v>52</v>
      </c>
      <c r="G82" s="34" t="s">
        <v>85</v>
      </c>
      <c r="H82" s="36"/>
      <c r="I82" s="34" t="s">
        <v>22</v>
      </c>
      <c r="J82" s="34"/>
      <c r="K82" s="34" t="s">
        <v>40</v>
      </c>
      <c r="L82" s="40">
        <f t="shared" si="1"/>
        <v>5</v>
      </c>
    </row>
    <row r="83" ht="15" customHeight="1" spans="1:12">
      <c r="A83" s="9"/>
      <c r="B83" s="9">
        <v>7</v>
      </c>
      <c r="C83" s="9" t="s">
        <v>182</v>
      </c>
      <c r="D83" s="34" t="s">
        <v>41</v>
      </c>
      <c r="E83" s="36"/>
      <c r="F83" s="34" t="s">
        <v>60</v>
      </c>
      <c r="G83" s="34" t="s">
        <v>129</v>
      </c>
      <c r="H83" s="36"/>
      <c r="I83" s="34"/>
      <c r="J83" s="34" t="s">
        <v>81</v>
      </c>
      <c r="K83" s="34"/>
      <c r="L83" s="40">
        <f t="shared" si="1"/>
        <v>4</v>
      </c>
    </row>
    <row r="84" ht="15" customHeight="1" spans="1:12">
      <c r="A84" s="9"/>
      <c r="B84" s="9">
        <v>8</v>
      </c>
      <c r="C84" s="10" t="s">
        <v>183</v>
      </c>
      <c r="D84" s="34" t="s">
        <v>84</v>
      </c>
      <c r="E84" s="36"/>
      <c r="F84" s="34"/>
      <c r="G84" s="34" t="s">
        <v>90</v>
      </c>
      <c r="H84" s="36"/>
      <c r="I84" s="34" t="s">
        <v>114</v>
      </c>
      <c r="J84" s="34" t="s">
        <v>56</v>
      </c>
      <c r="K84" s="34"/>
      <c r="L84" s="40">
        <f t="shared" si="1"/>
        <v>4</v>
      </c>
    </row>
    <row r="85" ht="15" customHeight="1" spans="1:12">
      <c r="A85" s="9"/>
      <c r="B85" s="9">
        <v>9</v>
      </c>
      <c r="C85" s="10" t="s">
        <v>184</v>
      </c>
      <c r="D85" s="34"/>
      <c r="E85" s="36" t="s">
        <v>135</v>
      </c>
      <c r="F85" s="34" t="s">
        <v>111</v>
      </c>
      <c r="G85" s="34"/>
      <c r="H85" s="36"/>
      <c r="I85" s="34" t="s">
        <v>64</v>
      </c>
      <c r="J85" s="34"/>
      <c r="K85" s="34" t="s">
        <v>24</v>
      </c>
      <c r="L85" s="40">
        <f t="shared" si="1"/>
        <v>4</v>
      </c>
    </row>
    <row r="86" ht="15" customHeight="1" spans="1:12">
      <c r="A86" s="9"/>
      <c r="B86" s="9">
        <v>10</v>
      </c>
      <c r="C86" s="9" t="s">
        <v>185</v>
      </c>
      <c r="D86" s="34"/>
      <c r="E86" s="36" t="s">
        <v>135</v>
      </c>
      <c r="F86" s="34" t="s">
        <v>52</v>
      </c>
      <c r="G86" s="34"/>
      <c r="H86" s="36"/>
      <c r="I86" s="34"/>
      <c r="J86" s="34" t="s">
        <v>56</v>
      </c>
      <c r="K86" s="59" t="s">
        <v>42</v>
      </c>
      <c r="L86" s="40">
        <f t="shared" si="1"/>
        <v>4</v>
      </c>
    </row>
    <row r="87" ht="15" customHeight="1" spans="1:12">
      <c r="A87" s="9" t="s">
        <v>186</v>
      </c>
      <c r="B87" s="9">
        <v>1</v>
      </c>
      <c r="C87" s="9" t="s">
        <v>187</v>
      </c>
      <c r="D87" s="34"/>
      <c r="E87" s="36" t="s">
        <v>121</v>
      </c>
      <c r="F87" s="34" t="s">
        <v>22</v>
      </c>
      <c r="G87" s="34"/>
      <c r="H87" s="36"/>
      <c r="I87" s="34"/>
      <c r="J87" s="34"/>
      <c r="K87" s="41" t="s">
        <v>89</v>
      </c>
      <c r="L87" s="40">
        <f t="shared" si="1"/>
        <v>3</v>
      </c>
    </row>
    <row r="88" ht="15" customHeight="1" spans="1:12">
      <c r="A88" s="9"/>
      <c r="B88" s="9">
        <v>2</v>
      </c>
      <c r="C88" s="9" t="s">
        <v>188</v>
      </c>
      <c r="D88" s="34" t="s">
        <v>29</v>
      </c>
      <c r="E88" s="36"/>
      <c r="F88" s="34" t="s">
        <v>34</v>
      </c>
      <c r="G88" s="34" t="s">
        <v>64</v>
      </c>
      <c r="H88" s="36"/>
      <c r="I88" s="34" t="s">
        <v>41</v>
      </c>
      <c r="J88" s="34" t="s">
        <v>75</v>
      </c>
      <c r="K88" s="34"/>
      <c r="L88" s="40">
        <f t="shared" si="1"/>
        <v>5</v>
      </c>
    </row>
    <row r="89" ht="15" customHeight="1" spans="1:12">
      <c r="A89" s="9"/>
      <c r="B89" s="9">
        <v>3</v>
      </c>
      <c r="C89" s="9" t="s">
        <v>189</v>
      </c>
      <c r="D89" s="34"/>
      <c r="E89" s="36" t="s">
        <v>58</v>
      </c>
      <c r="F89" s="34" t="s">
        <v>44</v>
      </c>
      <c r="G89" s="42"/>
      <c r="H89" s="36"/>
      <c r="I89" s="34" t="s">
        <v>36</v>
      </c>
      <c r="J89" s="34" t="s">
        <v>54</v>
      </c>
      <c r="K89" s="34"/>
      <c r="L89" s="40">
        <f t="shared" si="1"/>
        <v>4</v>
      </c>
    </row>
    <row r="90" ht="15" customHeight="1" spans="1:12">
      <c r="A90" s="9"/>
      <c r="B90" s="9">
        <v>4</v>
      </c>
      <c r="C90" s="9" t="s">
        <v>190</v>
      </c>
      <c r="D90" s="34"/>
      <c r="E90" s="36" t="s">
        <v>59</v>
      </c>
      <c r="F90" s="60" t="s">
        <v>31</v>
      </c>
      <c r="G90" s="34"/>
      <c r="H90" s="36"/>
      <c r="I90" s="34" t="s">
        <v>69</v>
      </c>
      <c r="J90" s="34" t="s">
        <v>66</v>
      </c>
      <c r="K90" s="34"/>
      <c r="L90" s="40">
        <f t="shared" si="1"/>
        <v>4</v>
      </c>
    </row>
    <row r="91" ht="15" customHeight="1" spans="1:12">
      <c r="A91" s="13" t="s">
        <v>191</v>
      </c>
      <c r="B91" s="9">
        <v>1</v>
      </c>
      <c r="C91" s="9" t="s">
        <v>192</v>
      </c>
      <c r="D91" s="34"/>
      <c r="E91" s="36"/>
      <c r="F91" s="34" t="s">
        <v>80</v>
      </c>
      <c r="G91" s="34" t="s">
        <v>32</v>
      </c>
      <c r="H91" s="36"/>
      <c r="I91" s="34"/>
      <c r="J91" s="34" t="s">
        <v>60</v>
      </c>
      <c r="K91" s="34" t="s">
        <v>32</v>
      </c>
      <c r="L91" s="40">
        <f t="shared" si="1"/>
        <v>4</v>
      </c>
    </row>
    <row r="92" ht="15" customHeight="1" spans="1:12">
      <c r="A92" s="14"/>
      <c r="B92" s="9">
        <v>2</v>
      </c>
      <c r="C92" s="9" t="s">
        <v>193</v>
      </c>
      <c r="D92" s="34" t="s">
        <v>114</v>
      </c>
      <c r="E92" s="36" t="s">
        <v>38</v>
      </c>
      <c r="F92" s="34"/>
      <c r="G92" s="34"/>
      <c r="H92" s="36"/>
      <c r="I92" s="34" t="s">
        <v>140</v>
      </c>
      <c r="J92" s="34"/>
      <c r="K92" s="34" t="s">
        <v>115</v>
      </c>
      <c r="L92" s="40">
        <f t="shared" si="1"/>
        <v>4</v>
      </c>
    </row>
    <row r="93" ht="15" customHeight="1" spans="1:12">
      <c r="A93" s="14"/>
      <c r="B93" s="9">
        <v>3</v>
      </c>
      <c r="C93" s="9" t="s">
        <v>196</v>
      </c>
      <c r="D93" s="34" t="s">
        <v>226</v>
      </c>
      <c r="E93" s="36"/>
      <c r="F93" s="34" t="s">
        <v>227</v>
      </c>
      <c r="G93" s="34"/>
      <c r="H93" s="36"/>
      <c r="I93" s="34" t="s">
        <v>228</v>
      </c>
      <c r="J93" s="34"/>
      <c r="K93" s="34" t="s">
        <v>198</v>
      </c>
      <c r="L93" s="40">
        <f t="shared" si="1"/>
        <v>4</v>
      </c>
    </row>
    <row r="94" ht="15" customHeight="1" spans="1:12">
      <c r="A94" s="14"/>
      <c r="B94" s="9">
        <v>4</v>
      </c>
      <c r="C94" s="9" t="s">
        <v>200</v>
      </c>
      <c r="D94" s="34"/>
      <c r="E94" s="36" t="s">
        <v>229</v>
      </c>
      <c r="F94" s="34" t="s">
        <v>230</v>
      </c>
      <c r="G94" s="34"/>
      <c r="H94" s="36"/>
      <c r="I94" s="34"/>
      <c r="J94" s="34" t="s">
        <v>23</v>
      </c>
      <c r="K94" s="34" t="s">
        <v>53</v>
      </c>
      <c r="L94" s="40">
        <f t="shared" si="1"/>
        <v>4</v>
      </c>
    </row>
    <row r="95" ht="15" customHeight="1" spans="1:12">
      <c r="A95" s="14"/>
      <c r="B95" s="9">
        <v>5</v>
      </c>
      <c r="C95" s="9" t="s">
        <v>201</v>
      </c>
      <c r="D95" s="34"/>
      <c r="E95" s="36"/>
      <c r="F95" s="34" t="s">
        <v>42</v>
      </c>
      <c r="G95" s="34" t="s">
        <v>231</v>
      </c>
      <c r="H95" s="36"/>
      <c r="I95" s="34"/>
      <c r="J95" s="34" t="s">
        <v>65</v>
      </c>
      <c r="K95" s="34" t="s">
        <v>75</v>
      </c>
      <c r="L95" s="40">
        <f t="shared" si="1"/>
        <v>4</v>
      </c>
    </row>
    <row r="96" ht="15" customHeight="1" spans="1:12">
      <c r="A96" s="22" t="s">
        <v>202</v>
      </c>
      <c r="B96" s="9">
        <v>1</v>
      </c>
      <c r="C96" s="9" t="s">
        <v>203</v>
      </c>
      <c r="D96" s="34"/>
      <c r="E96" s="36" t="s">
        <v>40</v>
      </c>
      <c r="F96" s="34" t="s">
        <v>232</v>
      </c>
      <c r="G96" s="34"/>
      <c r="H96" s="36"/>
      <c r="I96" s="34" t="s">
        <v>228</v>
      </c>
      <c r="J96" s="34"/>
      <c r="K96" s="34" t="s">
        <v>198</v>
      </c>
      <c r="L96" s="40">
        <f t="shared" si="1"/>
        <v>4</v>
      </c>
    </row>
    <row r="97" ht="15" customHeight="1" spans="1:12">
      <c r="A97" s="23"/>
      <c r="B97" s="9">
        <v>2</v>
      </c>
      <c r="C97" s="9" t="s">
        <v>204</v>
      </c>
      <c r="D97" s="34"/>
      <c r="E97" s="36"/>
      <c r="F97" s="34" t="s">
        <v>64</v>
      </c>
      <c r="G97" s="34" t="s">
        <v>132</v>
      </c>
      <c r="H97" s="36"/>
      <c r="I97" s="34"/>
      <c r="J97" s="34" t="s">
        <v>69</v>
      </c>
      <c r="K97" s="34" t="s">
        <v>86</v>
      </c>
      <c r="L97" s="40">
        <f t="shared" si="1"/>
        <v>4</v>
      </c>
    </row>
    <row r="98" ht="15" customHeight="1" spans="1:12">
      <c r="A98" s="23"/>
      <c r="B98" s="9">
        <v>3</v>
      </c>
      <c r="C98" s="9" t="s">
        <v>205</v>
      </c>
      <c r="D98" s="34"/>
      <c r="E98" s="36"/>
      <c r="F98" s="36" t="s">
        <v>58</v>
      </c>
      <c r="G98" s="34" t="s">
        <v>111</v>
      </c>
      <c r="H98" s="36"/>
      <c r="I98" s="34"/>
      <c r="J98" s="34" t="s">
        <v>87</v>
      </c>
      <c r="K98" s="34"/>
      <c r="L98" s="40">
        <f t="shared" si="1"/>
        <v>3</v>
      </c>
    </row>
    <row r="99" ht="15" customHeight="1" spans="1:12">
      <c r="A99" s="23"/>
      <c r="B99" s="9">
        <v>4</v>
      </c>
      <c r="C99" s="9" t="s">
        <v>206</v>
      </c>
      <c r="D99" s="34"/>
      <c r="E99" s="36" t="s">
        <v>28</v>
      </c>
      <c r="F99" s="34" t="s">
        <v>32</v>
      </c>
      <c r="G99" s="34"/>
      <c r="H99" s="36"/>
      <c r="I99" s="34" t="s">
        <v>27</v>
      </c>
      <c r="J99" s="34" t="s">
        <v>62</v>
      </c>
      <c r="K99" s="34"/>
      <c r="L99" s="40">
        <f t="shared" si="1"/>
        <v>4</v>
      </c>
    </row>
    <row r="100" ht="15" customHeight="1" spans="1:12">
      <c r="A100" s="23"/>
      <c r="B100" s="9">
        <v>5</v>
      </c>
      <c r="C100" s="9" t="s">
        <v>207</v>
      </c>
      <c r="D100" s="34" t="s">
        <v>114</v>
      </c>
      <c r="E100" s="36"/>
      <c r="F100" s="34"/>
      <c r="G100" s="34" t="s">
        <v>80</v>
      </c>
      <c r="H100" s="36"/>
      <c r="I100" s="34"/>
      <c r="J100" s="34" t="s">
        <v>233</v>
      </c>
      <c r="K100" s="37" t="s">
        <v>70</v>
      </c>
      <c r="L100" s="40">
        <f t="shared" si="1"/>
        <v>4</v>
      </c>
    </row>
    <row r="101" ht="15" customHeight="1" spans="1:12">
      <c r="A101" s="24"/>
      <c r="B101" s="9">
        <v>6</v>
      </c>
      <c r="C101" s="10" t="s">
        <v>209</v>
      </c>
      <c r="D101" s="34"/>
      <c r="E101" s="36"/>
      <c r="F101" s="34" t="s">
        <v>59</v>
      </c>
      <c r="G101" s="34"/>
      <c r="H101" s="36"/>
      <c r="I101" s="34" t="s">
        <v>38</v>
      </c>
      <c r="J101" s="34" t="s">
        <v>29</v>
      </c>
      <c r="K101" s="34"/>
      <c r="L101" s="40">
        <f t="shared" si="1"/>
        <v>3</v>
      </c>
    </row>
    <row r="102" ht="15" customHeight="1" spans="1:12">
      <c r="A102" s="9" t="s">
        <v>210</v>
      </c>
      <c r="B102" s="9">
        <v>1</v>
      </c>
      <c r="C102" s="9" t="s">
        <v>211</v>
      </c>
      <c r="D102" s="34" t="s">
        <v>100</v>
      </c>
      <c r="E102" s="36" t="s">
        <v>23</v>
      </c>
      <c r="F102" s="34"/>
      <c r="G102" s="34" t="s">
        <v>84</v>
      </c>
      <c r="H102" s="36"/>
      <c r="I102" s="34"/>
      <c r="J102" s="34" t="s">
        <v>115</v>
      </c>
      <c r="K102" s="34" t="s">
        <v>112</v>
      </c>
      <c r="L102" s="40">
        <f t="shared" si="1"/>
        <v>5</v>
      </c>
    </row>
    <row r="103" ht="15" customHeight="1" spans="1:12">
      <c r="A103" s="9"/>
      <c r="B103" s="9">
        <v>2</v>
      </c>
      <c r="C103" s="9" t="s">
        <v>212</v>
      </c>
      <c r="D103" s="34" t="s">
        <v>129</v>
      </c>
      <c r="E103" s="36" t="s">
        <v>53</v>
      </c>
      <c r="F103" s="34"/>
      <c r="G103" s="34" t="s">
        <v>29</v>
      </c>
      <c r="H103" s="36"/>
      <c r="I103" s="34"/>
      <c r="J103" s="34"/>
      <c r="K103" s="34" t="s">
        <v>108</v>
      </c>
      <c r="L103" s="40">
        <f t="shared" si="1"/>
        <v>4</v>
      </c>
    </row>
    <row r="104" ht="15" customHeight="1" spans="1:12">
      <c r="A104" s="9"/>
      <c r="B104" s="9">
        <v>3</v>
      </c>
      <c r="C104" s="9" t="s">
        <v>213</v>
      </c>
      <c r="D104" s="34"/>
      <c r="E104" s="36" t="s">
        <v>47</v>
      </c>
      <c r="F104" s="34" t="s">
        <v>107</v>
      </c>
      <c r="G104" s="34"/>
      <c r="H104" s="36"/>
      <c r="I104" s="34"/>
      <c r="J104" s="34" t="s">
        <v>82</v>
      </c>
      <c r="K104" s="34" t="s">
        <v>28</v>
      </c>
      <c r="L104" s="40">
        <f t="shared" si="1"/>
        <v>4</v>
      </c>
    </row>
    <row r="105" ht="15" customHeight="1" spans="1:12">
      <c r="A105" s="9"/>
      <c r="B105" s="9">
        <v>4</v>
      </c>
      <c r="C105" s="9" t="s">
        <v>214</v>
      </c>
      <c r="D105" s="34"/>
      <c r="E105" s="36" t="s">
        <v>36</v>
      </c>
      <c r="F105" s="34"/>
      <c r="G105" s="34"/>
      <c r="H105" s="36"/>
      <c r="I105" s="34"/>
      <c r="J105" s="34" t="s">
        <v>92</v>
      </c>
      <c r="K105" s="34" t="s">
        <v>76</v>
      </c>
      <c r="L105" s="40">
        <f t="shared" si="1"/>
        <v>3</v>
      </c>
    </row>
    <row r="106" ht="15" customHeight="1" spans="1:12">
      <c r="A106" s="9"/>
      <c r="B106" s="9">
        <v>5</v>
      </c>
      <c r="C106" s="9" t="s">
        <v>215</v>
      </c>
      <c r="D106" s="34" t="s">
        <v>32</v>
      </c>
      <c r="E106" s="36" t="s">
        <v>89</v>
      </c>
      <c r="F106" s="34"/>
      <c r="G106" s="34" t="s">
        <v>60</v>
      </c>
      <c r="H106" s="36"/>
      <c r="I106" s="34"/>
      <c r="J106" s="34" t="s">
        <v>91</v>
      </c>
      <c r="K106" s="34" t="s">
        <v>140</v>
      </c>
      <c r="L106" s="40">
        <f t="shared" si="1"/>
        <v>5</v>
      </c>
    </row>
    <row r="107" ht="15" customHeight="1" spans="1:12">
      <c r="A107" s="9" t="s">
        <v>216</v>
      </c>
      <c r="B107" s="9">
        <v>1</v>
      </c>
      <c r="C107" s="9" t="s">
        <v>217</v>
      </c>
      <c r="D107" s="37"/>
      <c r="E107" s="37"/>
      <c r="F107" s="37" t="s">
        <v>23</v>
      </c>
      <c r="G107" s="37" t="s">
        <v>24</v>
      </c>
      <c r="H107" s="33"/>
      <c r="I107" s="37"/>
      <c r="J107" s="37" t="s">
        <v>140</v>
      </c>
      <c r="K107" s="37" t="s">
        <v>48</v>
      </c>
      <c r="L107" s="40">
        <f t="shared" si="1"/>
        <v>4</v>
      </c>
    </row>
    <row r="108" ht="15" customHeight="1" spans="1:13">
      <c r="A108" s="40"/>
      <c r="B108" s="40"/>
      <c r="C108" s="40"/>
      <c r="D108" s="40">
        <f>COUNTIFS(D5:D107,"&gt;""")</f>
        <v>59</v>
      </c>
      <c r="E108" s="40">
        <f>COUNTIFS(E5:E107,"&gt;""")</f>
        <v>59</v>
      </c>
      <c r="F108" s="40">
        <f>COUNTIFS(F5:F107,"&gt;""")</f>
        <v>59</v>
      </c>
      <c r="G108" s="40">
        <f>COUNTIFS(G5:G107,"&gt;""")</f>
        <v>58</v>
      </c>
      <c r="H108" s="36"/>
      <c r="I108" s="40">
        <f>COUNTIFS(I5:I107,"&gt;""")</f>
        <v>59</v>
      </c>
      <c r="J108" s="40">
        <f>COUNTIFS(J5:J107,"&gt;""")</f>
        <v>59</v>
      </c>
      <c r="K108" s="40">
        <f>COUNTIFS(K5:K107,"&gt;""")</f>
        <v>53</v>
      </c>
      <c r="L108" s="40">
        <f>COUNTIFS(L5:L106,"&gt;""")</f>
        <v>0</v>
      </c>
      <c r="M108" s="48"/>
    </row>
    <row r="109" ht="28.5" customHeight="1" spans="1:12">
      <c r="A109" s="44"/>
      <c r="B109" s="45"/>
      <c r="C109" s="46" t="s">
        <v>219</v>
      </c>
      <c r="D109" s="47"/>
      <c r="E109" s="47"/>
      <c r="F109" s="47"/>
      <c r="G109" s="47"/>
      <c r="H109" s="47"/>
      <c r="I109" s="47"/>
      <c r="J109" s="47"/>
      <c r="K109" s="49"/>
      <c r="L109" s="40"/>
    </row>
    <row r="110" spans="7:9">
      <c r="G110" s="1"/>
      <c r="H110" s="1"/>
      <c r="I110" s="1"/>
    </row>
  </sheetData>
  <mergeCells count="16">
    <mergeCell ref="A1:L1"/>
    <mergeCell ref="A2:L2"/>
    <mergeCell ref="C109:K109"/>
    <mergeCell ref="A5:A20"/>
    <mergeCell ref="A21:A36"/>
    <mergeCell ref="A37:A52"/>
    <mergeCell ref="A54:A56"/>
    <mergeCell ref="A57:A62"/>
    <mergeCell ref="A63:A66"/>
    <mergeCell ref="A67:A76"/>
    <mergeCell ref="A77:A86"/>
    <mergeCell ref="A87:A90"/>
    <mergeCell ref="A91:A95"/>
    <mergeCell ref="A96:A101"/>
    <mergeCell ref="A102:A106"/>
    <mergeCell ref="L3:L4"/>
  </mergeCells>
  <conditionalFormatting sqref="C101">
    <cfRule type="expression" dxfId="0" priority="1">
      <formula>MOD(ROW(),2)=0</formula>
    </cfRule>
  </conditionalFormatting>
  <conditionalFormatting sqref="C19:C20">
    <cfRule type="expression" dxfId="0" priority="3">
      <formula>MOD(ROW(),2)=0</formula>
    </cfRule>
  </conditionalFormatting>
  <conditionalFormatting sqref="C35:C36">
    <cfRule type="expression" dxfId="0" priority="4">
      <formula>MOD(ROW(),2)=0</formula>
    </cfRule>
  </conditionalFormatting>
  <conditionalFormatting sqref="C84:C85">
    <cfRule type="expression" dxfId="0" priority="2">
      <formula>MOD(ROW(),2)=0</formula>
    </cfRule>
  </conditionalFormatting>
  <conditionalFormatting sqref="D5:D107">
    <cfRule type="duplicateValues" dxfId="1" priority="5"/>
  </conditionalFormatting>
  <conditionalFormatting sqref="E5:E107">
    <cfRule type="duplicateValues" dxfId="1" priority="10"/>
  </conditionalFormatting>
  <conditionalFormatting sqref="F5:F107">
    <cfRule type="duplicateValues" dxfId="1" priority="11"/>
  </conditionalFormatting>
  <conditionalFormatting sqref="G5:G107">
    <cfRule type="duplicateValues" dxfId="1" priority="9"/>
  </conditionalFormatting>
  <conditionalFormatting sqref="I5:I107">
    <cfRule type="duplicateValues" dxfId="1" priority="8"/>
  </conditionalFormatting>
  <conditionalFormatting sqref="J5:J107">
    <cfRule type="duplicateValues" dxfId="1" priority="7"/>
  </conditionalFormatting>
  <conditionalFormatting sqref="K5:K107">
    <cfRule type="duplicateValues" dxfId="1" priority="6"/>
  </conditionalFormatting>
  <conditionalFormatting sqref="B5:L18 D19:L20 B21:L34 D35:L36 B37:L83 D84:L85 B86:L100 D101:L101 B102:L108 B19:B20 B35:B36 B84:B85 B101">
    <cfRule type="expression" dxfId="2" priority="12">
      <formula>MOD(ROW(),2)=1</formula>
    </cfRule>
  </conditionalFormatting>
  <pageMargins left="0.2" right="0.2" top="0.25" bottom="0.2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6"/>
  <sheetViews>
    <sheetView zoomScale="144" zoomScaleNormal="144" workbookViewId="0">
      <pane xSplit="4" ySplit="4" topLeftCell="E48" activePane="bottomRight" state="frozen"/>
      <selection/>
      <selection pane="topRight"/>
      <selection pane="bottomLeft"/>
      <selection pane="bottomRight" activeCell="M81" sqref="M81"/>
    </sheetView>
  </sheetViews>
  <sheetFormatPr defaultColWidth="9" defaultRowHeight="14.5"/>
  <cols>
    <col min="1" max="1" width="9.57272727272727" customWidth="1"/>
    <col min="2" max="2" width="4.13636363636364" customWidth="1"/>
    <col min="3" max="3" width="8.13636363636364" style="1" customWidth="1"/>
    <col min="4" max="4" width="9.70909090909091" customWidth="1"/>
    <col min="5" max="5" width="9.85454545454546" customWidth="1"/>
    <col min="6" max="6" width="9.70909090909091" customWidth="1"/>
    <col min="7" max="7" width="9.70909090909091" style="26" customWidth="1"/>
    <col min="8" max="8" width="2.57272727272727" style="56" customWidth="1"/>
    <col min="9" max="9" width="10" style="26" customWidth="1"/>
    <col min="10" max="10" width="10" customWidth="1"/>
    <col min="11" max="11" width="10.1363636363636" customWidth="1"/>
    <col min="12" max="12" width="5.85454545454545" customWidth="1"/>
  </cols>
  <sheetData>
    <row r="1" ht="20.45" customHeight="1" spans="1:12">
      <c r="A1" s="27" t="s">
        <v>0</v>
      </c>
      <c r="B1" s="27"/>
      <c r="C1" s="27"/>
      <c r="D1" s="27"/>
      <c r="E1" s="27"/>
      <c r="F1" s="27"/>
      <c r="G1" s="27"/>
      <c r="H1" s="57"/>
      <c r="I1" s="27"/>
      <c r="J1" s="27"/>
      <c r="K1" s="27"/>
      <c r="L1" s="27"/>
    </row>
    <row r="2" ht="18.6" customHeight="1" spans="1:12">
      <c r="A2" s="27" t="s">
        <v>234</v>
      </c>
      <c r="B2" s="27"/>
      <c r="C2" s="27"/>
      <c r="D2" s="27"/>
      <c r="E2" s="27"/>
      <c r="F2" s="27"/>
      <c r="G2" s="27"/>
      <c r="H2" s="57"/>
      <c r="I2" s="27"/>
      <c r="J2" s="27"/>
      <c r="K2" s="27"/>
      <c r="L2" s="27"/>
    </row>
    <row r="3" spans="1:12">
      <c r="A3" s="28" t="s">
        <v>2</v>
      </c>
      <c r="B3" s="28" t="s">
        <v>3</v>
      </c>
      <c r="C3" s="29" t="s">
        <v>4</v>
      </c>
      <c r="D3" s="30" t="s">
        <v>5</v>
      </c>
      <c r="E3" s="30" t="s">
        <v>6</v>
      </c>
      <c r="F3" s="30" t="s">
        <v>7</v>
      </c>
      <c r="G3" s="30" t="s">
        <v>8</v>
      </c>
      <c r="H3" s="58"/>
      <c r="I3" s="30" t="s">
        <v>9</v>
      </c>
      <c r="J3" s="30" t="s">
        <v>10</v>
      </c>
      <c r="K3" s="30" t="s">
        <v>11</v>
      </c>
      <c r="L3" s="38" t="s">
        <v>12</v>
      </c>
    </row>
    <row r="4" s="25" customFormat="1" ht="13" spans="1:12">
      <c r="A4" s="6" t="s">
        <v>2</v>
      </c>
      <c r="B4" s="6" t="s">
        <v>3</v>
      </c>
      <c r="C4" s="7" t="s">
        <v>4</v>
      </c>
      <c r="D4" s="31" t="s">
        <v>13</v>
      </c>
      <c r="E4" s="31" t="s">
        <v>14</v>
      </c>
      <c r="F4" s="31" t="s">
        <v>15</v>
      </c>
      <c r="G4" s="31" t="s">
        <v>16</v>
      </c>
      <c r="H4" s="32"/>
      <c r="I4" s="39" t="s">
        <v>17</v>
      </c>
      <c r="J4" s="39" t="s">
        <v>18</v>
      </c>
      <c r="K4" s="39" t="s">
        <v>19</v>
      </c>
      <c r="L4" s="38"/>
    </row>
    <row r="5" ht="15.75" customHeight="1" spans="1:12">
      <c r="A5" s="9" t="s">
        <v>20</v>
      </c>
      <c r="B5" s="9">
        <v>1</v>
      </c>
      <c r="C5" s="9" t="s">
        <v>21</v>
      </c>
      <c r="D5" s="34"/>
      <c r="E5" s="36"/>
      <c r="F5" s="34" t="s">
        <v>23</v>
      </c>
      <c r="G5" s="34"/>
      <c r="H5" s="55"/>
      <c r="I5" s="34" t="s">
        <v>24</v>
      </c>
      <c r="J5" s="34" t="s">
        <v>235</v>
      </c>
      <c r="K5" s="34"/>
      <c r="L5" s="40">
        <f t="shared" ref="L5:L72" si="0">COUNTIFS(D5:K5,"&gt;""")</f>
        <v>3</v>
      </c>
    </row>
    <row r="6" ht="15.75" customHeight="1" spans="1:12">
      <c r="A6" s="9"/>
      <c r="B6" s="9">
        <v>2</v>
      </c>
      <c r="C6" s="9" t="s">
        <v>25</v>
      </c>
      <c r="D6" s="34" t="s">
        <v>53</v>
      </c>
      <c r="E6" s="36" t="s">
        <v>29</v>
      </c>
      <c r="F6" s="34"/>
      <c r="G6" s="34" t="s">
        <v>27</v>
      </c>
      <c r="H6" s="55"/>
      <c r="I6" s="34"/>
      <c r="J6" s="34"/>
      <c r="K6" s="34" t="s">
        <v>28</v>
      </c>
      <c r="L6" s="40">
        <f t="shared" si="0"/>
        <v>4</v>
      </c>
    </row>
    <row r="7" ht="15.75" customHeight="1" spans="1:12">
      <c r="A7" s="9"/>
      <c r="B7" s="9">
        <v>3</v>
      </c>
      <c r="C7" s="9" t="s">
        <v>30</v>
      </c>
      <c r="D7" s="34" t="s">
        <v>31</v>
      </c>
      <c r="E7" s="36"/>
      <c r="F7" s="34" t="s">
        <v>34</v>
      </c>
      <c r="G7" s="34" t="s">
        <v>50</v>
      </c>
      <c r="H7" s="55"/>
      <c r="I7" s="34" t="s">
        <v>56</v>
      </c>
      <c r="J7" s="34"/>
      <c r="K7" s="34"/>
      <c r="L7" s="40">
        <f t="shared" si="0"/>
        <v>4</v>
      </c>
    </row>
    <row r="8" ht="15.75" customHeight="1" spans="1:12">
      <c r="A8" s="9"/>
      <c r="B8" s="9">
        <v>4</v>
      </c>
      <c r="C8" s="9" t="s">
        <v>35</v>
      </c>
      <c r="D8" s="34" t="s">
        <v>36</v>
      </c>
      <c r="E8" s="36"/>
      <c r="F8" s="34" t="s">
        <v>65</v>
      </c>
      <c r="G8" s="34"/>
      <c r="H8" s="55"/>
      <c r="I8" s="34" t="s">
        <v>38</v>
      </c>
      <c r="J8" s="34"/>
      <c r="K8" s="34" t="s">
        <v>37</v>
      </c>
      <c r="L8" s="40">
        <f t="shared" si="0"/>
        <v>4</v>
      </c>
    </row>
    <row r="9" ht="15.75" customHeight="1" spans="1:12">
      <c r="A9" s="9"/>
      <c r="B9" s="9">
        <v>5</v>
      </c>
      <c r="C9" s="9" t="s">
        <v>39</v>
      </c>
      <c r="D9" s="34" t="s">
        <v>69</v>
      </c>
      <c r="E9" s="36"/>
      <c r="F9" s="34" t="s">
        <v>42</v>
      </c>
      <c r="G9" s="34" t="s">
        <v>121</v>
      </c>
      <c r="H9" s="55"/>
      <c r="I9" s="34" t="s">
        <v>40</v>
      </c>
      <c r="J9" s="34"/>
      <c r="K9" s="34"/>
      <c r="L9" s="40">
        <f t="shared" si="0"/>
        <v>4</v>
      </c>
    </row>
    <row r="10" ht="15.75" customHeight="1" spans="1:12">
      <c r="A10" s="9"/>
      <c r="B10" s="9">
        <v>6</v>
      </c>
      <c r="C10" s="9" t="s">
        <v>43</v>
      </c>
      <c r="D10" s="34"/>
      <c r="E10" s="36" t="s">
        <v>64</v>
      </c>
      <c r="F10" s="34" t="s">
        <v>44</v>
      </c>
      <c r="G10" s="34"/>
      <c r="H10" s="55"/>
      <c r="I10" s="34"/>
      <c r="J10" s="34" t="s">
        <v>42</v>
      </c>
      <c r="K10" s="34"/>
      <c r="L10" s="40">
        <f t="shared" si="0"/>
        <v>3</v>
      </c>
    </row>
    <row r="11" ht="15.75" customHeight="1" spans="1:12">
      <c r="A11" s="9"/>
      <c r="B11" s="9">
        <v>7</v>
      </c>
      <c r="C11" s="9" t="s">
        <v>46</v>
      </c>
      <c r="D11" s="34"/>
      <c r="E11" s="36" t="s">
        <v>47</v>
      </c>
      <c r="F11" s="34" t="s">
        <v>58</v>
      </c>
      <c r="G11" s="34"/>
      <c r="H11" s="55"/>
      <c r="I11" s="34" t="s">
        <v>49</v>
      </c>
      <c r="J11" s="34" t="s">
        <v>48</v>
      </c>
      <c r="K11" s="34"/>
      <c r="L11" s="40">
        <f t="shared" si="0"/>
        <v>4</v>
      </c>
    </row>
    <row r="12" ht="15.75" customHeight="1" spans="1:12">
      <c r="A12" s="9"/>
      <c r="B12" s="9">
        <v>8</v>
      </c>
      <c r="C12" s="9" t="s">
        <v>51</v>
      </c>
      <c r="D12" s="34"/>
      <c r="E12" s="36" t="s">
        <v>52</v>
      </c>
      <c r="F12" s="34"/>
      <c r="G12" s="34" t="s">
        <v>54</v>
      </c>
      <c r="H12" s="55"/>
      <c r="I12" s="34"/>
      <c r="J12" s="34" t="s">
        <v>55</v>
      </c>
      <c r="K12" s="34" t="s">
        <v>53</v>
      </c>
      <c r="L12" s="40">
        <f t="shared" si="0"/>
        <v>4</v>
      </c>
    </row>
    <row r="13" ht="15.75" customHeight="1" spans="1:12">
      <c r="A13" s="9"/>
      <c r="B13" s="9">
        <v>9</v>
      </c>
      <c r="C13" s="9" t="s">
        <v>57</v>
      </c>
      <c r="D13" s="34" t="s">
        <v>89</v>
      </c>
      <c r="E13" s="36"/>
      <c r="F13" s="34" t="s">
        <v>100</v>
      </c>
      <c r="G13" s="34"/>
      <c r="H13" s="55"/>
      <c r="I13" s="34" t="s">
        <v>62</v>
      </c>
      <c r="J13" s="34" t="s">
        <v>60</v>
      </c>
      <c r="K13" s="34"/>
      <c r="L13" s="40">
        <f t="shared" si="0"/>
        <v>4</v>
      </c>
    </row>
    <row r="14" ht="15.75" customHeight="1" spans="1:12">
      <c r="A14" s="9"/>
      <c r="B14" s="9">
        <v>10</v>
      </c>
      <c r="C14" s="9" t="s">
        <v>63</v>
      </c>
      <c r="D14" s="34" t="s">
        <v>66</v>
      </c>
      <c r="E14" s="36"/>
      <c r="F14" s="34" t="s">
        <v>80</v>
      </c>
      <c r="G14" s="34"/>
      <c r="H14" s="55"/>
      <c r="I14" s="34" t="s">
        <v>67</v>
      </c>
      <c r="J14" s="34" t="s">
        <v>81</v>
      </c>
      <c r="K14" s="34"/>
      <c r="L14" s="40">
        <f t="shared" si="0"/>
        <v>4</v>
      </c>
    </row>
    <row r="15" ht="15.75" customHeight="1" spans="1:12">
      <c r="A15" s="9"/>
      <c r="B15" s="9">
        <v>11</v>
      </c>
      <c r="C15" s="9" t="s">
        <v>68</v>
      </c>
      <c r="D15" s="34" t="s">
        <v>144</v>
      </c>
      <c r="E15" s="36"/>
      <c r="F15" s="34" t="s">
        <v>71</v>
      </c>
      <c r="G15" s="34"/>
      <c r="H15" s="55"/>
      <c r="I15" s="34"/>
      <c r="J15" s="34" t="s">
        <v>70</v>
      </c>
      <c r="K15" s="34" t="s">
        <v>108</v>
      </c>
      <c r="L15" s="40">
        <f t="shared" si="0"/>
        <v>4</v>
      </c>
    </row>
    <row r="16" ht="15.75" customHeight="1" spans="1:12">
      <c r="A16" s="9"/>
      <c r="B16" s="9">
        <v>12</v>
      </c>
      <c r="C16" s="9" t="s">
        <v>72</v>
      </c>
      <c r="D16" s="34" t="s">
        <v>111</v>
      </c>
      <c r="E16" s="36" t="s">
        <v>73</v>
      </c>
      <c r="F16" s="34"/>
      <c r="G16" s="34" t="s">
        <v>59</v>
      </c>
      <c r="H16" s="55"/>
      <c r="I16" s="34"/>
      <c r="J16" s="34" t="s">
        <v>76</v>
      </c>
      <c r="K16" s="34" t="s">
        <v>75</v>
      </c>
      <c r="L16" s="40">
        <f t="shared" si="0"/>
        <v>5</v>
      </c>
    </row>
    <row r="17" ht="15.75" customHeight="1" spans="1:12">
      <c r="A17" s="9"/>
      <c r="B17" s="9">
        <v>13</v>
      </c>
      <c r="C17" s="9" t="s">
        <v>77</v>
      </c>
      <c r="D17" s="34" t="s">
        <v>78</v>
      </c>
      <c r="E17" s="36"/>
      <c r="F17" s="34" t="s">
        <v>129</v>
      </c>
      <c r="G17" s="34" t="s">
        <v>132</v>
      </c>
      <c r="H17" s="55"/>
      <c r="I17" s="34" t="s">
        <v>32</v>
      </c>
      <c r="J17" s="34"/>
      <c r="K17" s="34" t="s">
        <v>29</v>
      </c>
      <c r="L17" s="40">
        <f t="shared" si="0"/>
        <v>5</v>
      </c>
    </row>
    <row r="18" ht="15.75" customHeight="1" spans="1:12">
      <c r="A18" s="9"/>
      <c r="B18" s="9">
        <v>14</v>
      </c>
      <c r="C18" s="9" t="s">
        <v>79</v>
      </c>
      <c r="D18" s="34" t="s">
        <v>74</v>
      </c>
      <c r="E18" s="36" t="s">
        <v>40</v>
      </c>
      <c r="F18" s="34"/>
      <c r="G18" s="34" t="s">
        <v>107</v>
      </c>
      <c r="H18" s="55"/>
      <c r="I18" s="34"/>
      <c r="J18" s="34" t="s">
        <v>82</v>
      </c>
      <c r="K18" s="34"/>
      <c r="L18" s="40">
        <f t="shared" si="0"/>
        <v>4</v>
      </c>
    </row>
    <row r="19" ht="15.75" customHeight="1" spans="1:12">
      <c r="A19" s="9"/>
      <c r="B19" s="9">
        <v>15</v>
      </c>
      <c r="C19" s="10" t="s">
        <v>83</v>
      </c>
      <c r="D19" s="34" t="s">
        <v>85</v>
      </c>
      <c r="E19" s="36"/>
      <c r="F19" s="34" t="s">
        <v>84</v>
      </c>
      <c r="G19" s="34"/>
      <c r="H19" s="55"/>
      <c r="I19" s="34" t="s">
        <v>86</v>
      </c>
      <c r="J19" s="34"/>
      <c r="K19" s="34" t="s">
        <v>114</v>
      </c>
      <c r="L19" s="40">
        <f t="shared" si="0"/>
        <v>4</v>
      </c>
    </row>
    <row r="20" ht="15.75" customHeight="1" spans="1:12">
      <c r="A20" s="9"/>
      <c r="B20" s="9">
        <v>16</v>
      </c>
      <c r="C20" s="10" t="s">
        <v>88</v>
      </c>
      <c r="D20" s="34"/>
      <c r="E20" s="36" t="s">
        <v>45</v>
      </c>
      <c r="F20" s="34" t="s">
        <v>135</v>
      </c>
      <c r="G20" s="34"/>
      <c r="H20" s="55"/>
      <c r="I20" s="34"/>
      <c r="J20" s="34" t="s">
        <v>90</v>
      </c>
      <c r="K20" s="34" t="s">
        <v>92</v>
      </c>
      <c r="L20" s="40">
        <f t="shared" si="0"/>
        <v>4</v>
      </c>
    </row>
    <row r="21" ht="15.75" customHeight="1" spans="1:12">
      <c r="A21" s="13" t="s">
        <v>93</v>
      </c>
      <c r="B21" s="9">
        <v>1</v>
      </c>
      <c r="C21" s="9" t="s">
        <v>94</v>
      </c>
      <c r="D21" s="34" t="s">
        <v>22</v>
      </c>
      <c r="E21" s="36"/>
      <c r="F21" s="34"/>
      <c r="G21" s="34" t="s">
        <v>80</v>
      </c>
      <c r="H21" s="55"/>
      <c r="I21" s="34"/>
      <c r="J21" s="34" t="s">
        <v>23</v>
      </c>
      <c r="K21" s="34" t="s">
        <v>55</v>
      </c>
      <c r="L21" s="40">
        <f t="shared" si="0"/>
        <v>4</v>
      </c>
    </row>
    <row r="22" ht="15.75" customHeight="1" spans="1:12">
      <c r="A22" s="14"/>
      <c r="B22" s="9">
        <v>2</v>
      </c>
      <c r="C22" s="9" t="s">
        <v>95</v>
      </c>
      <c r="D22" s="34" t="s">
        <v>28</v>
      </c>
      <c r="E22" s="36"/>
      <c r="F22" s="34" t="s">
        <v>73</v>
      </c>
      <c r="G22" s="34" t="s">
        <v>85</v>
      </c>
      <c r="H22" s="55"/>
      <c r="I22" s="34"/>
      <c r="J22" s="34"/>
      <c r="K22" s="34" t="s">
        <v>60</v>
      </c>
      <c r="L22" s="40">
        <f t="shared" si="0"/>
        <v>4</v>
      </c>
    </row>
    <row r="23" ht="15.75" customHeight="1" spans="1:12">
      <c r="A23" s="14"/>
      <c r="B23" s="9">
        <v>3</v>
      </c>
      <c r="C23" s="9" t="s">
        <v>96</v>
      </c>
      <c r="D23" s="34"/>
      <c r="E23" s="36" t="s">
        <v>97</v>
      </c>
      <c r="F23" s="34" t="s">
        <v>53</v>
      </c>
      <c r="G23" s="34"/>
      <c r="H23" s="55"/>
      <c r="I23" s="34"/>
      <c r="J23" s="34" t="s">
        <v>32</v>
      </c>
      <c r="K23" s="34" t="s">
        <v>56</v>
      </c>
      <c r="L23" s="40">
        <f t="shared" si="0"/>
        <v>4</v>
      </c>
    </row>
    <row r="24" ht="15.75" customHeight="1" spans="1:12">
      <c r="A24" s="14"/>
      <c r="B24" s="9">
        <v>4</v>
      </c>
      <c r="C24" s="9" t="s">
        <v>98</v>
      </c>
      <c r="D24" s="34" t="s">
        <v>71</v>
      </c>
      <c r="E24" s="36"/>
      <c r="F24" s="34" t="s">
        <v>27</v>
      </c>
      <c r="G24" s="34" t="s">
        <v>37</v>
      </c>
      <c r="H24" s="55"/>
      <c r="I24" s="34"/>
      <c r="K24" s="34" t="s">
        <v>42</v>
      </c>
      <c r="L24" s="40">
        <f t="shared" si="0"/>
        <v>4</v>
      </c>
    </row>
    <row r="25" ht="15.75" customHeight="1" spans="1:12">
      <c r="A25" s="14"/>
      <c r="B25" s="9">
        <v>5</v>
      </c>
      <c r="C25" s="9" t="s">
        <v>99</v>
      </c>
      <c r="D25" s="34" t="s">
        <v>100</v>
      </c>
      <c r="E25" s="36"/>
      <c r="F25" s="34" t="s">
        <v>50</v>
      </c>
      <c r="G25" s="34" t="s">
        <v>45</v>
      </c>
      <c r="H25" s="55"/>
      <c r="I25" s="34"/>
      <c r="J25" s="34" t="s">
        <v>26</v>
      </c>
      <c r="K25" s="34"/>
      <c r="L25" s="40">
        <f t="shared" si="0"/>
        <v>4</v>
      </c>
    </row>
    <row r="26" ht="15.75" customHeight="1" spans="1:12">
      <c r="A26" s="14"/>
      <c r="B26" s="9">
        <v>6</v>
      </c>
      <c r="C26" s="9" t="s">
        <v>101</v>
      </c>
      <c r="D26" s="34"/>
      <c r="E26" s="36" t="s">
        <v>74</v>
      </c>
      <c r="F26" s="34"/>
      <c r="G26" s="34" t="s">
        <v>69</v>
      </c>
      <c r="H26" s="55"/>
      <c r="I26" s="34" t="s">
        <v>66</v>
      </c>
      <c r="J26" s="34"/>
      <c r="K26" s="34" t="s">
        <v>31</v>
      </c>
      <c r="L26" s="40">
        <f t="shared" si="0"/>
        <v>4</v>
      </c>
    </row>
    <row r="27" ht="15.75" customHeight="1" spans="1:12">
      <c r="A27" s="14"/>
      <c r="B27" s="9">
        <v>7</v>
      </c>
      <c r="C27" s="9" t="s">
        <v>102</v>
      </c>
      <c r="D27" s="34"/>
      <c r="E27" s="36" t="s">
        <v>90</v>
      </c>
      <c r="F27" s="34"/>
      <c r="G27" s="34" t="s">
        <v>49</v>
      </c>
      <c r="H27" s="55"/>
      <c r="I27" s="34"/>
      <c r="J27" s="34" t="s">
        <v>44</v>
      </c>
      <c r="K27" s="34"/>
      <c r="L27" s="40">
        <f t="shared" si="0"/>
        <v>3</v>
      </c>
    </row>
    <row r="28" ht="15.75" customHeight="1" spans="1:12">
      <c r="A28" s="14"/>
      <c r="B28" s="9">
        <v>8</v>
      </c>
      <c r="C28" s="9" t="s">
        <v>103</v>
      </c>
      <c r="D28" s="34" t="s">
        <v>64</v>
      </c>
      <c r="E28" s="36" t="s">
        <v>48</v>
      </c>
      <c r="F28" s="34"/>
      <c r="G28" s="34"/>
      <c r="H28" s="55"/>
      <c r="I28" s="34" t="s">
        <v>121</v>
      </c>
      <c r="J28" s="34" t="s">
        <v>27</v>
      </c>
      <c r="K28" s="34"/>
      <c r="L28" s="40">
        <f t="shared" si="0"/>
        <v>4</v>
      </c>
    </row>
    <row r="29" ht="15.75" customHeight="1" spans="1:12">
      <c r="A29" s="14"/>
      <c r="B29" s="9">
        <v>9</v>
      </c>
      <c r="C29" s="9" t="s">
        <v>105</v>
      </c>
      <c r="D29" s="34"/>
      <c r="E29" s="36" t="s">
        <v>132</v>
      </c>
      <c r="F29" s="34"/>
      <c r="G29" s="34" t="s">
        <v>38</v>
      </c>
      <c r="H29" s="55"/>
      <c r="I29" s="34"/>
      <c r="J29" s="34" t="s">
        <v>65</v>
      </c>
      <c r="K29" s="34" t="s">
        <v>86</v>
      </c>
      <c r="L29" s="40">
        <f t="shared" si="0"/>
        <v>4</v>
      </c>
    </row>
    <row r="30" ht="15.75" customHeight="1" spans="1:12">
      <c r="A30" s="14"/>
      <c r="B30" s="9">
        <v>10</v>
      </c>
      <c r="C30" s="9" t="s">
        <v>106</v>
      </c>
      <c r="D30" s="34" t="s">
        <v>24</v>
      </c>
      <c r="E30" s="36"/>
      <c r="F30" s="34" t="s">
        <v>75</v>
      </c>
      <c r="G30" s="1" t="s">
        <v>29</v>
      </c>
      <c r="H30" s="55"/>
      <c r="I30" s="34" t="s">
        <v>108</v>
      </c>
      <c r="J30" s="34"/>
      <c r="K30" s="34" t="s">
        <v>22</v>
      </c>
      <c r="L30" s="40">
        <f t="shared" si="0"/>
        <v>5</v>
      </c>
    </row>
    <row r="31" ht="15.75" customHeight="1" spans="1:12">
      <c r="A31" s="14"/>
      <c r="B31" s="9">
        <v>11</v>
      </c>
      <c r="C31" s="9" t="s">
        <v>109</v>
      </c>
      <c r="D31" s="34" t="s">
        <v>52</v>
      </c>
      <c r="E31" s="36"/>
      <c r="F31" s="34" t="s">
        <v>55</v>
      </c>
      <c r="G31" s="34" t="s">
        <v>78</v>
      </c>
      <c r="H31" s="55"/>
      <c r="I31" s="34"/>
      <c r="J31" s="34" t="s">
        <v>62</v>
      </c>
      <c r="K31" s="34"/>
      <c r="L31" s="40">
        <f t="shared" si="0"/>
        <v>4</v>
      </c>
    </row>
    <row r="32" ht="15.75" customHeight="1" spans="1:12">
      <c r="A32" s="14"/>
      <c r="B32" s="9">
        <v>12</v>
      </c>
      <c r="C32" s="9" t="s">
        <v>110</v>
      </c>
      <c r="D32" s="34" t="s">
        <v>54</v>
      </c>
      <c r="E32" s="36" t="s">
        <v>111</v>
      </c>
      <c r="F32" s="34"/>
      <c r="G32" s="34" t="s">
        <v>53</v>
      </c>
      <c r="H32" s="55"/>
      <c r="I32" s="34" t="s">
        <v>81</v>
      </c>
      <c r="J32" s="34"/>
      <c r="K32" s="34" t="s">
        <v>112</v>
      </c>
      <c r="L32" s="40">
        <f t="shared" si="0"/>
        <v>5</v>
      </c>
    </row>
    <row r="33" ht="15.75" customHeight="1" spans="1:12">
      <c r="A33" s="14"/>
      <c r="B33" s="9">
        <v>13</v>
      </c>
      <c r="C33" s="9" t="s">
        <v>113</v>
      </c>
      <c r="D33" s="34" t="s">
        <v>23</v>
      </c>
      <c r="E33" s="36" t="s">
        <v>114</v>
      </c>
      <c r="F33" s="34"/>
      <c r="G33" s="34"/>
      <c r="H33" s="55"/>
      <c r="I33" s="34" t="s">
        <v>115</v>
      </c>
      <c r="J33" s="34"/>
      <c r="K33" s="34" t="s">
        <v>58</v>
      </c>
      <c r="L33" s="40">
        <f t="shared" si="0"/>
        <v>4</v>
      </c>
    </row>
    <row r="34" ht="15.75" customHeight="1" spans="1:12">
      <c r="A34" s="14"/>
      <c r="B34" s="9">
        <v>14</v>
      </c>
      <c r="C34" s="9" t="s">
        <v>116</v>
      </c>
      <c r="D34" s="34"/>
      <c r="E34" s="36" t="s">
        <v>42</v>
      </c>
      <c r="F34" s="34"/>
      <c r="G34" s="34" t="s">
        <v>34</v>
      </c>
      <c r="H34" s="55"/>
      <c r="I34" s="34" t="s">
        <v>87</v>
      </c>
      <c r="J34" s="34" t="s">
        <v>89</v>
      </c>
      <c r="K34" s="34"/>
      <c r="L34" s="40">
        <f t="shared" si="0"/>
        <v>4</v>
      </c>
    </row>
    <row r="35" ht="15.75" customHeight="1" spans="1:12">
      <c r="A35" s="14"/>
      <c r="B35" s="9">
        <v>15</v>
      </c>
      <c r="C35" s="10" t="s">
        <v>117</v>
      </c>
      <c r="D35" s="34"/>
      <c r="E35" s="36" t="s">
        <v>135</v>
      </c>
      <c r="F35" s="34"/>
      <c r="G35" s="34" t="s">
        <v>41</v>
      </c>
      <c r="H35" s="55"/>
      <c r="I35" s="34" t="s">
        <v>114</v>
      </c>
      <c r="J35" s="34"/>
      <c r="K35" s="34" t="s">
        <v>65</v>
      </c>
      <c r="L35" s="40">
        <f t="shared" si="0"/>
        <v>4</v>
      </c>
    </row>
    <row r="36" ht="15.75" customHeight="1" spans="1:12">
      <c r="A36" s="15"/>
      <c r="B36" s="9">
        <v>16</v>
      </c>
      <c r="C36" s="10" t="s">
        <v>119</v>
      </c>
      <c r="D36" s="34" t="s">
        <v>121</v>
      </c>
      <c r="E36" s="36"/>
      <c r="F36" s="34" t="s">
        <v>120</v>
      </c>
      <c r="G36" s="34" t="s">
        <v>36</v>
      </c>
      <c r="H36" s="55"/>
      <c r="I36" s="34"/>
      <c r="J36" s="34" t="s">
        <v>138</v>
      </c>
      <c r="K36" s="34"/>
      <c r="L36" s="40">
        <f t="shared" si="0"/>
        <v>4</v>
      </c>
    </row>
    <row r="37" ht="15.75" customHeight="1" spans="1:12">
      <c r="A37" s="13" t="s">
        <v>122</v>
      </c>
      <c r="B37" s="16">
        <v>1</v>
      </c>
      <c r="C37" s="10" t="s">
        <v>123</v>
      </c>
      <c r="D37" s="34"/>
      <c r="E37" s="36"/>
      <c r="F37" s="34"/>
      <c r="G37" s="34" t="s">
        <v>22</v>
      </c>
      <c r="H37" s="55"/>
      <c r="I37" s="34"/>
      <c r="J37" s="34"/>
      <c r="K37" s="34"/>
      <c r="L37" s="40">
        <f t="shared" si="0"/>
        <v>1</v>
      </c>
    </row>
    <row r="38" ht="15.75" customHeight="1" spans="1:12">
      <c r="A38" s="14"/>
      <c r="B38" s="16">
        <v>2</v>
      </c>
      <c r="C38" s="10" t="s">
        <v>124</v>
      </c>
      <c r="D38" s="34"/>
      <c r="E38" s="36" t="s">
        <v>22</v>
      </c>
      <c r="F38" s="34" t="s">
        <v>26</v>
      </c>
      <c r="G38" s="34"/>
      <c r="H38" s="55"/>
      <c r="I38" s="34" t="s">
        <v>64</v>
      </c>
      <c r="J38" s="34"/>
      <c r="K38" s="34"/>
      <c r="L38" s="40">
        <f t="shared" si="0"/>
        <v>3</v>
      </c>
    </row>
    <row r="39" ht="15.75" customHeight="1" spans="1:12">
      <c r="A39" s="14"/>
      <c r="B39" s="16">
        <v>3</v>
      </c>
      <c r="C39" s="10" t="s">
        <v>125</v>
      </c>
      <c r="D39" s="34" t="s">
        <v>27</v>
      </c>
      <c r="E39" s="36"/>
      <c r="F39" s="34" t="s">
        <v>66</v>
      </c>
      <c r="G39" s="34" t="s">
        <v>75</v>
      </c>
      <c r="H39" s="55"/>
      <c r="I39" s="34"/>
      <c r="J39" s="34" t="s">
        <v>121</v>
      </c>
      <c r="K39" s="34"/>
      <c r="L39" s="40">
        <f t="shared" si="0"/>
        <v>4</v>
      </c>
    </row>
    <row r="40" ht="15.75" customHeight="1" spans="1:12">
      <c r="A40" s="14"/>
      <c r="B40" s="16">
        <v>4</v>
      </c>
      <c r="C40" s="10" t="s">
        <v>126</v>
      </c>
      <c r="D40" s="34" t="s">
        <v>32</v>
      </c>
      <c r="E40" s="36" t="s">
        <v>33</v>
      </c>
      <c r="F40" s="42"/>
      <c r="G40" s="34"/>
      <c r="H40" s="55"/>
      <c r="I40" s="34" t="s">
        <v>69</v>
      </c>
      <c r="J40" s="59"/>
      <c r="K40" s="34" t="s">
        <v>40</v>
      </c>
      <c r="L40" s="40">
        <f t="shared" si="0"/>
        <v>4</v>
      </c>
    </row>
    <row r="41" ht="15.75" customHeight="1" spans="1:12">
      <c r="A41" s="14"/>
      <c r="B41" s="16">
        <v>5</v>
      </c>
      <c r="C41" s="10" t="s">
        <v>127</v>
      </c>
      <c r="D41" s="34" t="s">
        <v>58</v>
      </c>
      <c r="E41" s="36" t="s">
        <v>34</v>
      </c>
      <c r="F41" s="34"/>
      <c r="G41" s="34" t="s">
        <v>42</v>
      </c>
      <c r="H41" s="55"/>
      <c r="I41" s="34" t="s">
        <v>73</v>
      </c>
      <c r="J41" s="34"/>
      <c r="K41" s="34"/>
      <c r="L41" s="40">
        <f t="shared" si="0"/>
        <v>4</v>
      </c>
    </row>
    <row r="42" ht="15.75" customHeight="1" spans="1:12">
      <c r="A42" s="14"/>
      <c r="B42" s="16">
        <v>6</v>
      </c>
      <c r="C42" s="10" t="s">
        <v>128</v>
      </c>
      <c r="D42" s="34" t="s">
        <v>45</v>
      </c>
      <c r="E42" s="36"/>
      <c r="F42" s="34"/>
      <c r="G42" s="34" t="s">
        <v>52</v>
      </c>
      <c r="H42" s="55"/>
      <c r="I42" s="34" t="s">
        <v>55</v>
      </c>
      <c r="J42" s="34"/>
      <c r="K42" s="34"/>
      <c r="L42" s="40">
        <f t="shared" si="0"/>
        <v>3</v>
      </c>
    </row>
    <row r="43" ht="15.75" customHeight="1" spans="1:12">
      <c r="A43" s="14"/>
      <c r="B43" s="16">
        <v>7</v>
      </c>
      <c r="C43" s="10" t="s">
        <v>130</v>
      </c>
      <c r="D43" s="34" t="s">
        <v>49</v>
      </c>
      <c r="E43" s="36" t="s">
        <v>31</v>
      </c>
      <c r="F43" s="34"/>
      <c r="G43" s="34"/>
      <c r="H43" s="55"/>
      <c r="I43" s="34" t="s">
        <v>44</v>
      </c>
      <c r="J43" s="34" t="s">
        <v>41</v>
      </c>
      <c r="K43" s="34"/>
      <c r="L43" s="40">
        <f t="shared" si="0"/>
        <v>4</v>
      </c>
    </row>
    <row r="44" ht="15.75" customHeight="1" spans="1:12">
      <c r="A44" s="14"/>
      <c r="B44" s="16">
        <v>8</v>
      </c>
      <c r="C44" s="10" t="s">
        <v>131</v>
      </c>
      <c r="D44" s="34" t="s">
        <v>107</v>
      </c>
      <c r="E44" s="36"/>
      <c r="F44" s="34" t="s">
        <v>132</v>
      </c>
      <c r="G44" s="34"/>
      <c r="H44" s="55"/>
      <c r="I44" s="34" t="s">
        <v>112</v>
      </c>
      <c r="J44" s="34"/>
      <c r="K44" s="34" t="s">
        <v>115</v>
      </c>
      <c r="L44" s="40">
        <f t="shared" si="0"/>
        <v>4</v>
      </c>
    </row>
    <row r="45" ht="15.75" customHeight="1" spans="1:12">
      <c r="A45" s="14"/>
      <c r="B45" s="16">
        <v>9</v>
      </c>
      <c r="C45" s="10" t="s">
        <v>133</v>
      </c>
      <c r="D45" s="34" t="s">
        <v>65</v>
      </c>
      <c r="E45" s="36" t="s">
        <v>71</v>
      </c>
      <c r="F45" s="34"/>
      <c r="G45" s="34" t="s">
        <v>129</v>
      </c>
      <c r="H45" s="55"/>
      <c r="I45" s="34"/>
      <c r="J45" s="34" t="s">
        <v>29</v>
      </c>
      <c r="K45" s="34"/>
      <c r="L45" s="40">
        <f t="shared" si="0"/>
        <v>4</v>
      </c>
    </row>
    <row r="46" ht="15.75" customHeight="1" spans="1:12">
      <c r="A46" s="14"/>
      <c r="B46" s="16">
        <v>10</v>
      </c>
      <c r="C46" s="10" t="s">
        <v>134</v>
      </c>
      <c r="D46" s="34" t="s">
        <v>44</v>
      </c>
      <c r="E46" s="36" t="s">
        <v>28</v>
      </c>
      <c r="F46" s="34"/>
      <c r="G46" s="34"/>
      <c r="H46" s="55"/>
      <c r="I46" s="34" t="s">
        <v>78</v>
      </c>
      <c r="J46" s="34" t="s">
        <v>37</v>
      </c>
      <c r="K46" s="34"/>
      <c r="L46" s="40">
        <f t="shared" si="0"/>
        <v>4</v>
      </c>
    </row>
    <row r="47" ht="15.75" customHeight="1" spans="1:12">
      <c r="A47" s="14"/>
      <c r="B47" s="16">
        <v>11</v>
      </c>
      <c r="C47" s="10" t="s">
        <v>136</v>
      </c>
      <c r="D47" s="34"/>
      <c r="E47" s="36"/>
      <c r="F47" s="34" t="s">
        <v>90</v>
      </c>
      <c r="G47" s="34"/>
      <c r="H47" s="55"/>
      <c r="I47" s="34" t="s">
        <v>50</v>
      </c>
      <c r="J47" s="37" t="s">
        <v>38</v>
      </c>
      <c r="K47" s="34"/>
      <c r="L47" s="40">
        <f t="shared" si="0"/>
        <v>3</v>
      </c>
    </row>
    <row r="48" ht="15.75" customHeight="1" spans="1:12">
      <c r="A48" s="14"/>
      <c r="B48" s="16">
        <v>12</v>
      </c>
      <c r="C48" s="10" t="s">
        <v>137</v>
      </c>
      <c r="D48" s="34" t="s">
        <v>81</v>
      </c>
      <c r="E48" s="36" t="s">
        <v>54</v>
      </c>
      <c r="F48" s="34"/>
      <c r="G48" s="34" t="s">
        <v>56</v>
      </c>
      <c r="H48" s="55"/>
      <c r="I48" s="34" t="s">
        <v>48</v>
      </c>
      <c r="J48" s="34"/>
      <c r="K48" s="34"/>
      <c r="L48" s="40">
        <f t="shared" si="0"/>
        <v>4</v>
      </c>
    </row>
    <row r="49" ht="15.75" customHeight="1" spans="1:12">
      <c r="A49" s="14"/>
      <c r="B49" s="16">
        <v>13</v>
      </c>
      <c r="C49" s="10" t="s">
        <v>139</v>
      </c>
      <c r="D49" s="34"/>
      <c r="E49" s="36" t="s">
        <v>85</v>
      </c>
      <c r="F49" s="34"/>
      <c r="G49" s="34" t="s">
        <v>104</v>
      </c>
      <c r="H49" s="55"/>
      <c r="I49" s="34" t="s">
        <v>140</v>
      </c>
      <c r="J49" s="34"/>
      <c r="K49" s="34" t="s">
        <v>82</v>
      </c>
      <c r="L49" s="40">
        <f t="shared" si="0"/>
        <v>4</v>
      </c>
    </row>
    <row r="50" ht="15.75" customHeight="1" spans="1:12">
      <c r="A50" s="14"/>
      <c r="B50" s="16">
        <v>14</v>
      </c>
      <c r="C50" s="10" t="s">
        <v>141</v>
      </c>
      <c r="D50" s="34" t="s">
        <v>97</v>
      </c>
      <c r="E50" s="36" t="s">
        <v>69</v>
      </c>
      <c r="F50" s="34"/>
      <c r="G50" s="34" t="s">
        <v>89</v>
      </c>
      <c r="H50" s="55"/>
      <c r="I50" s="34"/>
      <c r="J50" s="34"/>
      <c r="K50" s="34" t="s">
        <v>87</v>
      </c>
      <c r="L50" s="40">
        <f t="shared" si="0"/>
        <v>4</v>
      </c>
    </row>
    <row r="51" ht="15.75" customHeight="1" spans="1:12">
      <c r="A51" s="14"/>
      <c r="B51" s="16">
        <v>15</v>
      </c>
      <c r="C51" s="10" t="s">
        <v>142</v>
      </c>
      <c r="D51" s="34"/>
      <c r="E51" s="36" t="s">
        <v>59</v>
      </c>
      <c r="F51" s="34" t="s">
        <v>36</v>
      </c>
      <c r="G51" s="34"/>
      <c r="H51" s="55"/>
      <c r="I51" s="34" t="s">
        <v>91</v>
      </c>
      <c r="J51" s="34" t="s">
        <v>67</v>
      </c>
      <c r="K51" s="34"/>
      <c r="L51" s="40">
        <f t="shared" si="0"/>
        <v>4</v>
      </c>
    </row>
    <row r="52" ht="15.75" customHeight="1" spans="1:12">
      <c r="A52" s="15"/>
      <c r="B52" s="16">
        <v>16</v>
      </c>
      <c r="C52" s="10" t="s">
        <v>143</v>
      </c>
      <c r="D52" s="34" t="s">
        <v>84</v>
      </c>
      <c r="E52" s="36"/>
      <c r="F52" s="34" t="s">
        <v>144</v>
      </c>
      <c r="G52" s="34"/>
      <c r="H52" s="55"/>
      <c r="I52" s="34" t="s">
        <v>70</v>
      </c>
      <c r="J52" s="34" t="s">
        <v>92</v>
      </c>
      <c r="K52" s="34"/>
      <c r="L52" s="40">
        <f t="shared" si="0"/>
        <v>4</v>
      </c>
    </row>
    <row r="53" ht="15.75" customHeight="1" spans="1:12">
      <c r="A53" s="17" t="s">
        <v>145</v>
      </c>
      <c r="B53" s="9">
        <v>1</v>
      </c>
      <c r="C53" s="10" t="s">
        <v>146</v>
      </c>
      <c r="D53" s="34" t="s">
        <v>73</v>
      </c>
      <c r="E53" s="36" t="s">
        <v>26</v>
      </c>
      <c r="F53" s="34"/>
      <c r="G53" s="34" t="s">
        <v>90</v>
      </c>
      <c r="H53" s="55"/>
      <c r="I53" s="34" t="s">
        <v>37</v>
      </c>
      <c r="J53" s="34"/>
      <c r="K53" s="34"/>
      <c r="L53" s="40">
        <f t="shared" si="0"/>
        <v>4</v>
      </c>
    </row>
    <row r="54" ht="15.75" customHeight="1" spans="1:12">
      <c r="A54" s="13" t="s">
        <v>147</v>
      </c>
      <c r="B54" s="9">
        <v>2</v>
      </c>
      <c r="C54" s="10" t="s">
        <v>148</v>
      </c>
      <c r="D54" s="34" t="s">
        <v>41</v>
      </c>
      <c r="E54" s="36" t="s">
        <v>55</v>
      </c>
      <c r="F54" s="34"/>
      <c r="G54" s="34" t="s">
        <v>65</v>
      </c>
      <c r="H54" s="55"/>
      <c r="I54" s="34"/>
      <c r="J54" s="34" t="s">
        <v>50</v>
      </c>
      <c r="K54" s="60"/>
      <c r="L54" s="40">
        <f t="shared" si="0"/>
        <v>4</v>
      </c>
    </row>
    <row r="55" ht="15.75" customHeight="1" spans="1:12">
      <c r="A55" s="14"/>
      <c r="B55" s="9">
        <v>3</v>
      </c>
      <c r="C55" s="10" t="s">
        <v>149</v>
      </c>
      <c r="D55" s="34" t="s">
        <v>129</v>
      </c>
      <c r="E55" s="36"/>
      <c r="F55" s="34" t="s">
        <v>38</v>
      </c>
      <c r="G55" s="34"/>
      <c r="H55" s="55"/>
      <c r="I55" s="34"/>
      <c r="J55" s="34" t="s">
        <v>31</v>
      </c>
      <c r="K55" s="34"/>
      <c r="L55" s="40">
        <f t="shared" si="0"/>
        <v>3</v>
      </c>
    </row>
    <row r="56" ht="15.75" customHeight="1" spans="1:12">
      <c r="A56" s="15"/>
      <c r="B56" s="9">
        <v>4</v>
      </c>
      <c r="C56" s="10" t="s">
        <v>150</v>
      </c>
      <c r="D56" s="34"/>
      <c r="E56" s="36" t="s">
        <v>120</v>
      </c>
      <c r="F56" s="34"/>
      <c r="G56" s="34" t="s">
        <v>33</v>
      </c>
      <c r="H56" s="55"/>
      <c r="I56" s="34"/>
      <c r="J56" s="34" t="s">
        <v>36</v>
      </c>
      <c r="K56" s="34" t="s">
        <v>48</v>
      </c>
      <c r="L56" s="40">
        <f t="shared" si="0"/>
        <v>4</v>
      </c>
    </row>
    <row r="57" ht="15.75" customHeight="1" spans="1:12">
      <c r="A57" s="13" t="s">
        <v>151</v>
      </c>
      <c r="B57" s="9">
        <v>5</v>
      </c>
      <c r="C57" s="10" t="s">
        <v>152</v>
      </c>
      <c r="D57" s="34"/>
      <c r="E57" s="36" t="s">
        <v>78</v>
      </c>
      <c r="F57" s="34" t="s">
        <v>69</v>
      </c>
      <c r="G57"/>
      <c r="H57" s="55"/>
      <c r="I57" s="34" t="s">
        <v>22</v>
      </c>
      <c r="J57" s="34" t="s">
        <v>64</v>
      </c>
      <c r="K57" s="34"/>
      <c r="L57" s="40">
        <f t="shared" si="0"/>
        <v>4</v>
      </c>
    </row>
    <row r="58" ht="15.75" customHeight="1" spans="1:12">
      <c r="A58" s="14"/>
      <c r="B58" s="9">
        <v>6</v>
      </c>
      <c r="C58" s="10" t="s">
        <v>153</v>
      </c>
      <c r="D58" s="34"/>
      <c r="E58" s="36" t="s">
        <v>81</v>
      </c>
      <c r="F58" s="34"/>
      <c r="G58" s="34" t="s">
        <v>111</v>
      </c>
      <c r="H58" s="55"/>
      <c r="I58" s="34"/>
      <c r="J58" s="34" t="s">
        <v>66</v>
      </c>
      <c r="K58" s="34" t="s">
        <v>26</v>
      </c>
      <c r="L58" s="40">
        <f t="shared" si="0"/>
        <v>4</v>
      </c>
    </row>
    <row r="59" ht="15.75" customHeight="1" spans="1:12">
      <c r="A59" s="14"/>
      <c r="B59" s="9">
        <v>7</v>
      </c>
      <c r="C59" s="10" t="s">
        <v>154</v>
      </c>
      <c r="D59" s="34" t="s">
        <v>34</v>
      </c>
      <c r="E59" s="36"/>
      <c r="F59" s="34" t="s">
        <v>33</v>
      </c>
      <c r="G59" s="34"/>
      <c r="H59" s="55"/>
      <c r="I59" s="34" t="s">
        <v>58</v>
      </c>
      <c r="J59" s="34" t="s">
        <v>49</v>
      </c>
      <c r="K59" s="34"/>
      <c r="L59" s="40">
        <f t="shared" si="0"/>
        <v>4</v>
      </c>
    </row>
    <row r="60" ht="15.75" customHeight="1" spans="1:12">
      <c r="A60" s="14"/>
      <c r="B60" s="9">
        <v>8</v>
      </c>
      <c r="C60" s="10" t="s">
        <v>155</v>
      </c>
      <c r="D60" s="34" t="s">
        <v>59</v>
      </c>
      <c r="E60" s="36" t="s">
        <v>44</v>
      </c>
      <c r="F60" s="34"/>
      <c r="G60" s="34" t="s">
        <v>144</v>
      </c>
      <c r="H60" s="55"/>
      <c r="I60" s="34" t="s">
        <v>27</v>
      </c>
      <c r="J60" s="34"/>
      <c r="K60" s="34"/>
      <c r="L60" s="40">
        <f t="shared" si="0"/>
        <v>4</v>
      </c>
    </row>
    <row r="61" ht="15.75" customHeight="1" spans="1:12">
      <c r="A61" s="14"/>
      <c r="B61" s="9">
        <v>9</v>
      </c>
      <c r="C61" s="10" t="s">
        <v>156</v>
      </c>
      <c r="D61" s="34" t="s">
        <v>29</v>
      </c>
      <c r="E61" s="36" t="s">
        <v>56</v>
      </c>
      <c r="F61" s="34"/>
      <c r="G61" s="34" t="s">
        <v>55</v>
      </c>
      <c r="H61" s="55"/>
      <c r="I61" s="34"/>
      <c r="J61" s="34" t="s">
        <v>24</v>
      </c>
      <c r="K61" s="34"/>
      <c r="L61" s="40">
        <f t="shared" si="0"/>
        <v>4</v>
      </c>
    </row>
    <row r="62" ht="15.75" customHeight="1" spans="1:12">
      <c r="A62" s="15"/>
      <c r="B62" s="9">
        <v>10</v>
      </c>
      <c r="C62" s="10" t="s">
        <v>157</v>
      </c>
      <c r="D62" s="34" t="s">
        <v>135</v>
      </c>
      <c r="E62" s="36"/>
      <c r="F62" s="34"/>
      <c r="G62" s="34" t="s">
        <v>47</v>
      </c>
      <c r="H62" s="55"/>
      <c r="I62" s="34" t="s">
        <v>45</v>
      </c>
      <c r="J62" s="34"/>
      <c r="K62" s="34" t="s">
        <v>236</v>
      </c>
      <c r="L62" s="40">
        <f t="shared" si="0"/>
        <v>4</v>
      </c>
    </row>
    <row r="63" ht="15.75" customHeight="1" spans="1:12">
      <c r="A63" s="13" t="s">
        <v>158</v>
      </c>
      <c r="B63" s="9">
        <v>11</v>
      </c>
      <c r="C63" s="10" t="s">
        <v>159</v>
      </c>
      <c r="D63" s="34" t="s">
        <v>33</v>
      </c>
      <c r="E63" s="36"/>
      <c r="F63" s="34" t="s">
        <v>85</v>
      </c>
      <c r="G63" s="34" t="s">
        <v>28</v>
      </c>
      <c r="H63" s="55"/>
      <c r="I63" s="34"/>
      <c r="J63" s="34"/>
      <c r="K63" s="34"/>
      <c r="L63" s="40">
        <f t="shared" si="0"/>
        <v>3</v>
      </c>
    </row>
    <row r="64" ht="15.75" customHeight="1" spans="1:12">
      <c r="A64" s="14"/>
      <c r="B64" s="9">
        <v>12</v>
      </c>
      <c r="C64" s="10" t="s">
        <v>160</v>
      </c>
      <c r="D64" s="34" t="s">
        <v>75</v>
      </c>
      <c r="E64" s="36" t="s">
        <v>27</v>
      </c>
      <c r="F64" s="34"/>
      <c r="G64" s="34"/>
      <c r="H64" s="55"/>
      <c r="I64" s="34" t="s">
        <v>34</v>
      </c>
      <c r="J64" s="34"/>
      <c r="K64" s="34" t="s">
        <v>49</v>
      </c>
      <c r="L64" s="40">
        <f t="shared" si="0"/>
        <v>4</v>
      </c>
    </row>
    <row r="65" ht="15.75" customHeight="1" spans="1:12">
      <c r="A65" s="14"/>
      <c r="B65" s="9">
        <v>13</v>
      </c>
      <c r="C65" s="10" t="s">
        <v>161</v>
      </c>
      <c r="D65" s="34"/>
      <c r="E65" s="36" t="s">
        <v>66</v>
      </c>
      <c r="F65" s="34"/>
      <c r="G65" s="34" t="s">
        <v>114</v>
      </c>
      <c r="H65" s="55"/>
      <c r="I65" s="34" t="s">
        <v>53</v>
      </c>
      <c r="J65" s="34"/>
      <c r="K65" s="34" t="s">
        <v>73</v>
      </c>
      <c r="L65" s="40">
        <f t="shared" si="0"/>
        <v>4</v>
      </c>
    </row>
    <row r="66" ht="15.75" customHeight="1" spans="1:12">
      <c r="A66" s="15"/>
      <c r="B66" s="9">
        <v>14</v>
      </c>
      <c r="C66" s="10" t="s">
        <v>162</v>
      </c>
      <c r="D66" s="34"/>
      <c r="E66" s="36" t="s">
        <v>58</v>
      </c>
      <c r="F66" s="34"/>
      <c r="G66" s="34"/>
      <c r="H66" s="55"/>
      <c r="I66" s="34" t="s">
        <v>42</v>
      </c>
      <c r="J66" s="34" t="s">
        <v>71</v>
      </c>
      <c r="K66" s="34"/>
      <c r="L66" s="40">
        <f t="shared" si="0"/>
        <v>3</v>
      </c>
    </row>
    <row r="67" ht="15.75" customHeight="1" spans="1:12">
      <c r="A67" s="14" t="s">
        <v>163</v>
      </c>
      <c r="B67" s="9">
        <v>1</v>
      </c>
      <c r="C67" s="10" t="s">
        <v>164</v>
      </c>
      <c r="D67" s="34"/>
      <c r="E67" s="36" t="s">
        <v>23</v>
      </c>
      <c r="F67" s="34"/>
      <c r="G67" s="34" t="s">
        <v>58</v>
      </c>
      <c r="H67" s="55"/>
      <c r="I67" s="34"/>
      <c r="J67" s="34" t="s">
        <v>73</v>
      </c>
      <c r="K67" s="34" t="s">
        <v>50</v>
      </c>
      <c r="L67" s="40">
        <f t="shared" si="0"/>
        <v>4</v>
      </c>
    </row>
    <row r="68" ht="15.75" customHeight="1" spans="1:12">
      <c r="A68" s="21"/>
      <c r="B68" s="9">
        <v>2</v>
      </c>
      <c r="C68" s="10" t="s">
        <v>166</v>
      </c>
      <c r="D68" s="34" t="s">
        <v>104</v>
      </c>
      <c r="E68" s="36"/>
      <c r="F68" s="34" t="s">
        <v>22</v>
      </c>
      <c r="G68" s="34" t="s">
        <v>31</v>
      </c>
      <c r="H68" s="55"/>
      <c r="I68" s="34"/>
      <c r="J68" s="34" t="s">
        <v>69</v>
      </c>
      <c r="K68" s="34"/>
      <c r="L68" s="40">
        <f t="shared" si="0"/>
        <v>4</v>
      </c>
    </row>
    <row r="69" ht="15.75" customHeight="1" spans="1:12">
      <c r="A69" s="21"/>
      <c r="B69" s="9">
        <v>3</v>
      </c>
      <c r="C69" s="10" t="s">
        <v>167</v>
      </c>
      <c r="D69" s="34"/>
      <c r="E69" s="36"/>
      <c r="F69" s="34" t="s">
        <v>54</v>
      </c>
      <c r="G69" s="34" t="s">
        <v>64</v>
      </c>
      <c r="H69" s="55"/>
      <c r="I69" s="34"/>
      <c r="J69" s="34"/>
      <c r="K69" s="34"/>
      <c r="L69" s="40">
        <f t="shared" si="0"/>
        <v>2</v>
      </c>
    </row>
    <row r="70" ht="15.75" customHeight="1" spans="1:12">
      <c r="A70" s="21"/>
      <c r="B70" s="9">
        <v>4</v>
      </c>
      <c r="C70" s="10" t="s">
        <v>168</v>
      </c>
      <c r="D70" s="34"/>
      <c r="E70" s="36" t="s">
        <v>80</v>
      </c>
      <c r="F70" s="34"/>
      <c r="G70" s="34"/>
      <c r="H70" s="55"/>
      <c r="I70" s="34" t="s">
        <v>41</v>
      </c>
      <c r="J70" s="34" t="s">
        <v>75</v>
      </c>
      <c r="K70" s="34"/>
      <c r="L70" s="40">
        <f t="shared" si="0"/>
        <v>3</v>
      </c>
    </row>
    <row r="71" ht="15.75" customHeight="1" spans="1:12">
      <c r="A71" s="21"/>
      <c r="B71" s="9">
        <v>5</v>
      </c>
      <c r="C71" s="10" t="s">
        <v>169</v>
      </c>
      <c r="D71" s="34"/>
      <c r="E71" s="36" t="s">
        <v>129</v>
      </c>
      <c r="F71" s="34" t="s">
        <v>121</v>
      </c>
      <c r="G71" s="34"/>
      <c r="H71" s="55"/>
      <c r="I71" s="34" t="s">
        <v>90</v>
      </c>
      <c r="J71" s="34"/>
      <c r="K71" s="34" t="s">
        <v>44</v>
      </c>
      <c r="L71" s="40">
        <f t="shared" si="0"/>
        <v>4</v>
      </c>
    </row>
    <row r="72" ht="15.75" customHeight="1" spans="1:12">
      <c r="A72" s="21"/>
      <c r="B72" s="9">
        <v>6</v>
      </c>
      <c r="C72" s="10" t="s">
        <v>170</v>
      </c>
      <c r="D72" s="34" t="s">
        <v>48</v>
      </c>
      <c r="E72" s="36"/>
      <c r="F72" s="34" t="s">
        <v>74</v>
      </c>
      <c r="G72" s="34" t="s">
        <v>81</v>
      </c>
      <c r="H72" s="55"/>
      <c r="I72" s="34"/>
      <c r="J72" s="34" t="s">
        <v>59</v>
      </c>
      <c r="K72" s="34"/>
      <c r="L72" s="40">
        <f t="shared" si="0"/>
        <v>4</v>
      </c>
    </row>
    <row r="73" ht="15.75" customHeight="1" spans="1:12">
      <c r="A73" s="21"/>
      <c r="B73" s="9">
        <v>7</v>
      </c>
      <c r="C73" s="10" t="s">
        <v>171</v>
      </c>
      <c r="D73" s="34" t="s">
        <v>42</v>
      </c>
      <c r="E73" s="36"/>
      <c r="F73" s="34" t="s">
        <v>89</v>
      </c>
      <c r="G73" s="34"/>
      <c r="H73" s="55"/>
      <c r="I73" s="34"/>
      <c r="J73" s="34" t="s">
        <v>45</v>
      </c>
      <c r="K73" s="34" t="s">
        <v>38</v>
      </c>
      <c r="L73" s="40">
        <f t="shared" ref="L73:L107" si="1">COUNTIFS(D73:K73,"&gt;""")</f>
        <v>4</v>
      </c>
    </row>
    <row r="74" ht="15.75" customHeight="1" spans="1:12">
      <c r="A74" s="21"/>
      <c r="B74" s="9">
        <v>8</v>
      </c>
      <c r="C74" s="10" t="s">
        <v>172</v>
      </c>
      <c r="D74" s="34" t="s">
        <v>26</v>
      </c>
      <c r="E74" s="34"/>
      <c r="F74" s="1" t="s">
        <v>28</v>
      </c>
      <c r="G74" s="34" t="s">
        <v>100</v>
      </c>
      <c r="H74" s="55"/>
      <c r="I74" s="34"/>
      <c r="J74" s="34" t="s">
        <v>85</v>
      </c>
      <c r="K74" s="34"/>
      <c r="L74" s="40">
        <f t="shared" si="1"/>
        <v>4</v>
      </c>
    </row>
    <row r="75" ht="15.75" customHeight="1" spans="1:12">
      <c r="A75" s="21"/>
      <c r="B75" s="9">
        <v>9</v>
      </c>
      <c r="C75" s="10" t="s">
        <v>173</v>
      </c>
      <c r="D75" s="34" t="s">
        <v>47</v>
      </c>
      <c r="E75" s="36"/>
      <c r="F75" s="34" t="s">
        <v>52</v>
      </c>
      <c r="G75" s="34"/>
      <c r="H75" s="55"/>
      <c r="I75" s="34" t="s">
        <v>36</v>
      </c>
      <c r="J75" s="34" t="s">
        <v>78</v>
      </c>
      <c r="K75" s="34"/>
      <c r="L75" s="40">
        <f t="shared" si="1"/>
        <v>4</v>
      </c>
    </row>
    <row r="76" ht="15.75" customHeight="1" spans="1:12">
      <c r="A76" s="21"/>
      <c r="B76" s="9">
        <v>10</v>
      </c>
      <c r="C76" s="10" t="s">
        <v>174</v>
      </c>
      <c r="D76" s="34"/>
      <c r="E76" s="36" t="s">
        <v>144</v>
      </c>
      <c r="F76" s="34"/>
      <c r="G76" s="34" t="s">
        <v>97</v>
      </c>
      <c r="H76" s="55"/>
      <c r="I76" s="34" t="s">
        <v>71</v>
      </c>
      <c r="J76" s="34"/>
      <c r="K76" s="34" t="s">
        <v>66</v>
      </c>
      <c r="L76" s="40">
        <f t="shared" si="1"/>
        <v>4</v>
      </c>
    </row>
    <row r="77" ht="15.75" customHeight="1" spans="1:12">
      <c r="A77" s="9" t="s">
        <v>175</v>
      </c>
      <c r="B77" s="9">
        <v>1</v>
      </c>
      <c r="C77" s="10" t="s">
        <v>176</v>
      </c>
      <c r="D77" s="34"/>
      <c r="E77" s="36" t="s">
        <v>38</v>
      </c>
      <c r="F77" s="34" t="s">
        <v>48</v>
      </c>
      <c r="G77" s="34"/>
      <c r="H77" s="55"/>
      <c r="I77" s="34"/>
      <c r="J77" s="34" t="s">
        <v>33</v>
      </c>
      <c r="K77" s="34" t="s">
        <v>54</v>
      </c>
      <c r="L77" s="40">
        <f t="shared" si="1"/>
        <v>4</v>
      </c>
    </row>
    <row r="78" ht="15.75" customHeight="1" spans="1:12">
      <c r="A78" s="9"/>
      <c r="B78" s="9">
        <v>2</v>
      </c>
      <c r="C78" s="10" t="s">
        <v>177</v>
      </c>
      <c r="D78" s="34" t="s">
        <v>37</v>
      </c>
      <c r="E78" s="36" t="s">
        <v>104</v>
      </c>
      <c r="F78" s="34"/>
      <c r="G78" s="34" t="s">
        <v>66</v>
      </c>
      <c r="H78" s="55"/>
      <c r="I78" s="34" t="s">
        <v>65</v>
      </c>
      <c r="J78" s="34" t="s">
        <v>80</v>
      </c>
      <c r="K78" s="34"/>
      <c r="L78" s="40">
        <f t="shared" si="1"/>
        <v>5</v>
      </c>
    </row>
    <row r="79" ht="15.75" customHeight="1" spans="1:12">
      <c r="A79" s="9"/>
      <c r="B79" s="9">
        <v>3</v>
      </c>
      <c r="C79" s="10" t="s">
        <v>178</v>
      </c>
      <c r="D79" s="34" t="s">
        <v>50</v>
      </c>
      <c r="E79" s="36"/>
      <c r="F79" s="34" t="s">
        <v>78</v>
      </c>
      <c r="G79" s="34"/>
      <c r="H79" s="55"/>
      <c r="I79" s="34"/>
      <c r="J79" s="34"/>
      <c r="K79" s="34" t="s">
        <v>27</v>
      </c>
      <c r="L79" s="40">
        <f t="shared" si="1"/>
        <v>3</v>
      </c>
    </row>
    <row r="80" ht="15.75" customHeight="1" spans="1:12">
      <c r="A80" s="9"/>
      <c r="B80" s="9">
        <v>4</v>
      </c>
      <c r="C80" s="10" t="s">
        <v>179</v>
      </c>
      <c r="D80" s="34" t="s">
        <v>120</v>
      </c>
      <c r="E80" s="36"/>
      <c r="F80" s="34" t="s">
        <v>49</v>
      </c>
      <c r="G80" s="34" t="s">
        <v>71</v>
      </c>
      <c r="H80" s="55"/>
      <c r="I80" s="34"/>
      <c r="J80" s="34" t="s">
        <v>28</v>
      </c>
      <c r="K80" s="34"/>
      <c r="L80" s="40">
        <f t="shared" si="1"/>
        <v>4</v>
      </c>
    </row>
    <row r="81" ht="15.75" customHeight="1" spans="1:12">
      <c r="A81" s="9"/>
      <c r="B81" s="9">
        <v>5</v>
      </c>
      <c r="C81" s="10" t="s">
        <v>180</v>
      </c>
      <c r="D81" s="34"/>
      <c r="E81" s="36" t="s">
        <v>53</v>
      </c>
      <c r="F81" s="34" t="s">
        <v>45</v>
      </c>
      <c r="G81" s="34"/>
      <c r="H81" s="55"/>
      <c r="I81" s="34" t="s">
        <v>59</v>
      </c>
      <c r="J81" s="34"/>
      <c r="K81" s="34" t="s">
        <v>69</v>
      </c>
      <c r="L81" s="40">
        <f t="shared" si="1"/>
        <v>4</v>
      </c>
    </row>
    <row r="82" ht="15.75" customHeight="1" spans="1:12">
      <c r="A82" s="9"/>
      <c r="B82" s="9">
        <v>6</v>
      </c>
      <c r="C82" s="10" t="s">
        <v>181</v>
      </c>
      <c r="D82" s="34"/>
      <c r="E82" s="61" t="s">
        <v>100</v>
      </c>
      <c r="F82" s="36"/>
      <c r="G82" s="34" t="s">
        <v>26</v>
      </c>
      <c r="H82" s="55"/>
      <c r="I82" s="34" t="s">
        <v>85</v>
      </c>
      <c r="J82" s="34" t="s">
        <v>40</v>
      </c>
      <c r="K82" s="34"/>
      <c r="L82" s="40">
        <f t="shared" si="1"/>
        <v>4</v>
      </c>
    </row>
    <row r="83" ht="15.75" customHeight="1" spans="1:12">
      <c r="A83" s="9"/>
      <c r="B83" s="9">
        <v>7</v>
      </c>
      <c r="C83" s="10" t="s">
        <v>182</v>
      </c>
      <c r="D83" s="34"/>
      <c r="E83" s="36"/>
      <c r="F83" s="34" t="s">
        <v>81</v>
      </c>
      <c r="G83" s="34" t="s">
        <v>60</v>
      </c>
      <c r="H83" s="55"/>
      <c r="I83" s="34"/>
      <c r="J83" s="34"/>
      <c r="K83" s="34" t="s">
        <v>89</v>
      </c>
      <c r="L83" s="40">
        <f t="shared" si="1"/>
        <v>3</v>
      </c>
    </row>
    <row r="84" ht="15.75" customHeight="1" spans="1:12">
      <c r="A84" s="9"/>
      <c r="B84" s="9">
        <v>8</v>
      </c>
      <c r="C84" s="10" t="s">
        <v>183</v>
      </c>
      <c r="D84" s="34" t="s">
        <v>90</v>
      </c>
      <c r="E84" s="36"/>
      <c r="F84" s="34" t="s">
        <v>56</v>
      </c>
      <c r="G84" s="34" t="s">
        <v>32</v>
      </c>
      <c r="H84" s="55"/>
      <c r="I84" s="34"/>
      <c r="J84" s="34" t="s">
        <v>114</v>
      </c>
      <c r="K84" s="34"/>
      <c r="L84" s="40">
        <f t="shared" si="1"/>
        <v>4</v>
      </c>
    </row>
    <row r="85" ht="15.75" customHeight="1" spans="1:12">
      <c r="A85" s="9"/>
      <c r="B85" s="9">
        <v>9</v>
      </c>
      <c r="C85" s="10" t="s">
        <v>184</v>
      </c>
      <c r="D85" s="34" t="s">
        <v>132</v>
      </c>
      <c r="E85" s="36"/>
      <c r="F85" s="34" t="s">
        <v>47</v>
      </c>
      <c r="G85" s="34" t="s">
        <v>24</v>
      </c>
      <c r="H85" s="55"/>
      <c r="I85" s="34" t="s">
        <v>75</v>
      </c>
      <c r="J85" s="34"/>
      <c r="K85" s="34" t="s">
        <v>64</v>
      </c>
      <c r="L85" s="40">
        <f t="shared" si="1"/>
        <v>5</v>
      </c>
    </row>
    <row r="86" ht="15.75" customHeight="1" spans="1:12">
      <c r="A86" s="9"/>
      <c r="B86" s="9">
        <v>10</v>
      </c>
      <c r="C86" s="10" t="s">
        <v>185</v>
      </c>
      <c r="D86" s="34" t="s">
        <v>50</v>
      </c>
      <c r="E86" s="36"/>
      <c r="F86" s="34" t="s">
        <v>56</v>
      </c>
      <c r="G86" s="34" t="s">
        <v>26</v>
      </c>
      <c r="H86" s="55"/>
      <c r="I86" s="34"/>
      <c r="J86" s="34" t="s">
        <v>80</v>
      </c>
      <c r="K86" s="34" t="s">
        <v>27</v>
      </c>
      <c r="L86" s="40">
        <f t="shared" si="1"/>
        <v>5</v>
      </c>
    </row>
    <row r="87" ht="15.75" customHeight="1" spans="1:12">
      <c r="A87" s="9" t="s">
        <v>186</v>
      </c>
      <c r="B87" s="9">
        <v>1</v>
      </c>
      <c r="C87" s="10" t="s">
        <v>187</v>
      </c>
      <c r="D87" s="34" t="s">
        <v>55</v>
      </c>
      <c r="E87" s="36"/>
      <c r="F87" s="62" t="s">
        <v>60</v>
      </c>
      <c r="G87" s="34" t="s">
        <v>23</v>
      </c>
      <c r="H87" s="55"/>
      <c r="I87" s="34" t="s">
        <v>89</v>
      </c>
      <c r="J87" s="34"/>
      <c r="K87" s="34" t="s">
        <v>121</v>
      </c>
      <c r="L87" s="40">
        <f t="shared" si="1"/>
        <v>5</v>
      </c>
    </row>
    <row r="88" ht="15.75" customHeight="1" spans="1:12">
      <c r="A88" s="9"/>
      <c r="B88" s="9">
        <v>2</v>
      </c>
      <c r="C88" s="10" t="s">
        <v>188</v>
      </c>
      <c r="D88" s="34"/>
      <c r="E88" s="36" t="s">
        <v>49</v>
      </c>
      <c r="F88" s="34" t="s">
        <v>41</v>
      </c>
      <c r="G88" s="34"/>
      <c r="H88" s="55"/>
      <c r="I88" s="1" t="s">
        <v>29</v>
      </c>
      <c r="J88" s="34" t="s">
        <v>34</v>
      </c>
      <c r="K88" s="34"/>
      <c r="L88" s="40">
        <f t="shared" si="1"/>
        <v>4</v>
      </c>
    </row>
    <row r="89" ht="15.75" customHeight="1" spans="1:12">
      <c r="A89" s="9"/>
      <c r="B89" s="9">
        <v>3</v>
      </c>
      <c r="C89" s="10" t="s">
        <v>189</v>
      </c>
      <c r="D89" s="34" t="s">
        <v>114</v>
      </c>
      <c r="E89" s="36"/>
      <c r="F89" s="34" t="s">
        <v>24</v>
      </c>
      <c r="G89" s="34"/>
      <c r="H89" s="55"/>
      <c r="I89" s="34"/>
      <c r="J89" s="34" t="s">
        <v>58</v>
      </c>
      <c r="K89" s="34" t="s">
        <v>33</v>
      </c>
      <c r="L89" s="40">
        <f t="shared" si="1"/>
        <v>4</v>
      </c>
    </row>
    <row r="90" ht="15.75" customHeight="1" spans="1:12">
      <c r="A90" s="9"/>
      <c r="B90" s="9">
        <v>4</v>
      </c>
      <c r="C90" s="10" t="s">
        <v>190</v>
      </c>
      <c r="D90" s="34"/>
      <c r="E90" s="36" t="s">
        <v>32</v>
      </c>
      <c r="F90" s="34" t="s">
        <v>59</v>
      </c>
      <c r="G90" s="34"/>
      <c r="H90" s="55"/>
      <c r="I90" s="34" t="s">
        <v>28</v>
      </c>
      <c r="J90" s="34" t="s">
        <v>56</v>
      </c>
      <c r="K90" s="34"/>
      <c r="L90" s="40">
        <f t="shared" si="1"/>
        <v>4</v>
      </c>
    </row>
    <row r="91" ht="15.75" customHeight="1" spans="1:12">
      <c r="A91" s="13" t="s">
        <v>191</v>
      </c>
      <c r="B91" s="9">
        <v>1</v>
      </c>
      <c r="C91" s="10" t="s">
        <v>192</v>
      </c>
      <c r="D91" s="34"/>
      <c r="E91" s="36" t="s">
        <v>60</v>
      </c>
      <c r="F91" s="34"/>
      <c r="G91" s="34"/>
      <c r="H91" s="55"/>
      <c r="I91" s="34" t="s">
        <v>80</v>
      </c>
      <c r="J91" s="34"/>
      <c r="K91" s="34" t="s">
        <v>32</v>
      </c>
      <c r="L91" s="40">
        <f t="shared" si="1"/>
        <v>3</v>
      </c>
    </row>
    <row r="92" ht="15.75" customHeight="1" spans="1:12">
      <c r="A92" s="14"/>
      <c r="B92" s="9">
        <v>2</v>
      </c>
      <c r="C92" s="10" t="s">
        <v>193</v>
      </c>
      <c r="D92" s="34"/>
      <c r="E92" s="36" t="s">
        <v>237</v>
      </c>
      <c r="F92" s="34" t="s">
        <v>195</v>
      </c>
      <c r="G92" s="34"/>
      <c r="H92" s="55"/>
      <c r="I92" s="34" t="s">
        <v>238</v>
      </c>
      <c r="J92" s="34"/>
      <c r="K92" s="34" t="s">
        <v>239</v>
      </c>
      <c r="L92" s="40">
        <f t="shared" si="1"/>
        <v>4</v>
      </c>
    </row>
    <row r="93" ht="15.75" customHeight="1" spans="1:12">
      <c r="A93" s="14"/>
      <c r="B93" s="9">
        <v>3</v>
      </c>
      <c r="C93" s="10" t="s">
        <v>196</v>
      </c>
      <c r="D93" s="34" t="s">
        <v>38</v>
      </c>
      <c r="E93" s="36"/>
      <c r="F93" s="34" t="s">
        <v>111</v>
      </c>
      <c r="G93" s="34"/>
      <c r="H93" s="55"/>
      <c r="I93" s="34" t="s">
        <v>208</v>
      </c>
      <c r="J93" s="34"/>
      <c r="K93" s="34" t="s">
        <v>70</v>
      </c>
      <c r="L93" s="40">
        <f t="shared" si="1"/>
        <v>4</v>
      </c>
    </row>
    <row r="94" ht="15.75" customHeight="1" spans="1:12">
      <c r="A94" s="14"/>
      <c r="B94" s="9">
        <v>4</v>
      </c>
      <c r="C94" s="10" t="s">
        <v>200</v>
      </c>
      <c r="D94" s="34"/>
      <c r="E94" s="36" t="s">
        <v>89</v>
      </c>
      <c r="F94" s="34" t="s">
        <v>107</v>
      </c>
      <c r="G94" s="34"/>
      <c r="H94" s="55"/>
      <c r="I94" s="34"/>
      <c r="J94" s="34" t="s">
        <v>108</v>
      </c>
      <c r="K94" s="34" t="s">
        <v>24</v>
      </c>
      <c r="L94" s="40">
        <f t="shared" si="1"/>
        <v>4</v>
      </c>
    </row>
    <row r="95" ht="15.75" customHeight="1" spans="1:12">
      <c r="A95" s="14"/>
      <c r="B95" s="9">
        <v>5</v>
      </c>
      <c r="C95" s="10" t="s">
        <v>201</v>
      </c>
      <c r="D95" s="34"/>
      <c r="E95" s="36" t="s">
        <v>107</v>
      </c>
      <c r="F95" s="34"/>
      <c r="G95" s="34" t="s">
        <v>84</v>
      </c>
      <c r="H95" s="55"/>
      <c r="I95" s="34"/>
      <c r="J95" s="34" t="s">
        <v>53</v>
      </c>
      <c r="K95" s="34" t="s">
        <v>36</v>
      </c>
      <c r="L95" s="40">
        <f t="shared" si="1"/>
        <v>4</v>
      </c>
    </row>
    <row r="96" ht="15.75" customHeight="1" spans="1:12">
      <c r="A96" s="22" t="s">
        <v>202</v>
      </c>
      <c r="B96" s="9">
        <v>1</v>
      </c>
      <c r="C96" s="10" t="s">
        <v>203</v>
      </c>
      <c r="D96" s="34" t="s">
        <v>38</v>
      </c>
      <c r="E96" s="36"/>
      <c r="F96" s="34" t="s">
        <v>195</v>
      </c>
      <c r="G96" s="34"/>
      <c r="H96" s="55"/>
      <c r="I96" s="34" t="s">
        <v>238</v>
      </c>
      <c r="J96" s="34"/>
      <c r="K96" s="34" t="s">
        <v>239</v>
      </c>
      <c r="L96" s="40">
        <f t="shared" si="1"/>
        <v>4</v>
      </c>
    </row>
    <row r="97" ht="15.75" customHeight="1" spans="1:12">
      <c r="A97" s="23"/>
      <c r="B97" s="9">
        <v>2</v>
      </c>
      <c r="C97" s="10" t="s">
        <v>204</v>
      </c>
      <c r="D97" s="34"/>
      <c r="E97" s="36" t="s">
        <v>36</v>
      </c>
      <c r="F97" s="34"/>
      <c r="G97" s="34" t="s">
        <v>73</v>
      </c>
      <c r="H97" s="55"/>
      <c r="I97" s="34" t="s">
        <v>240</v>
      </c>
      <c r="J97" s="34"/>
      <c r="K97" s="34" t="s">
        <v>34</v>
      </c>
      <c r="L97" s="40">
        <f t="shared" si="1"/>
        <v>4</v>
      </c>
    </row>
    <row r="98" ht="15.75" customHeight="1" spans="1:12">
      <c r="A98" s="23"/>
      <c r="B98" s="9">
        <v>3</v>
      </c>
      <c r="C98" s="10" t="s">
        <v>205</v>
      </c>
      <c r="D98" s="34"/>
      <c r="E98" s="36" t="s">
        <v>65</v>
      </c>
      <c r="F98" s="34"/>
      <c r="G98" s="34" t="s">
        <v>135</v>
      </c>
      <c r="H98" s="55"/>
      <c r="I98" s="34"/>
      <c r="J98" s="34" t="s">
        <v>91</v>
      </c>
      <c r="K98" s="34" t="s">
        <v>23</v>
      </c>
      <c r="L98" s="40">
        <f t="shared" si="1"/>
        <v>4</v>
      </c>
    </row>
    <row r="99" ht="15.75" customHeight="1" spans="1:12">
      <c r="A99" s="23"/>
      <c r="B99" s="9">
        <v>4</v>
      </c>
      <c r="C99" s="10" t="s">
        <v>206</v>
      </c>
      <c r="D99" s="34"/>
      <c r="E99" s="36"/>
      <c r="F99" s="34" t="s">
        <v>31</v>
      </c>
      <c r="G99" s="34" t="s">
        <v>44</v>
      </c>
      <c r="H99" s="55"/>
      <c r="I99" s="34"/>
      <c r="J99" s="34" t="s">
        <v>140</v>
      </c>
      <c r="K99" s="34" t="s">
        <v>67</v>
      </c>
      <c r="L99" s="40">
        <f t="shared" si="1"/>
        <v>4</v>
      </c>
    </row>
    <row r="100" ht="15.75" customHeight="1" spans="1:12">
      <c r="A100" s="23"/>
      <c r="B100" s="9">
        <v>5</v>
      </c>
      <c r="C100" s="10" t="s">
        <v>207</v>
      </c>
      <c r="D100" s="34" t="s">
        <v>80</v>
      </c>
      <c r="E100" s="36" t="s">
        <v>237</v>
      </c>
      <c r="F100" s="34"/>
      <c r="G100" s="34"/>
      <c r="H100" s="55"/>
      <c r="I100" s="34" t="s">
        <v>208</v>
      </c>
      <c r="J100" s="34" t="s">
        <v>112</v>
      </c>
      <c r="K100" s="34"/>
      <c r="L100" s="40">
        <f t="shared" si="1"/>
        <v>4</v>
      </c>
    </row>
    <row r="101" ht="15.75" customHeight="1" spans="1:12">
      <c r="A101" s="24"/>
      <c r="B101" s="9">
        <v>6</v>
      </c>
      <c r="C101" s="10" t="s">
        <v>209</v>
      </c>
      <c r="D101" s="34"/>
      <c r="E101" s="36"/>
      <c r="F101" s="34" t="s">
        <v>104</v>
      </c>
      <c r="G101" s="34" t="s">
        <v>74</v>
      </c>
      <c r="H101" s="55"/>
      <c r="I101" s="34" t="s">
        <v>26</v>
      </c>
      <c r="J101" s="34" t="s">
        <v>54</v>
      </c>
      <c r="K101" s="34"/>
      <c r="L101" s="40">
        <f t="shared" si="1"/>
        <v>4</v>
      </c>
    </row>
    <row r="102" ht="15.75" customHeight="1" spans="1:12">
      <c r="A102" s="9" t="s">
        <v>210</v>
      </c>
      <c r="B102" s="9">
        <v>1</v>
      </c>
      <c r="C102" s="10" t="s">
        <v>211</v>
      </c>
      <c r="D102" s="34"/>
      <c r="E102" s="36" t="s">
        <v>121</v>
      </c>
      <c r="F102" s="34" t="s">
        <v>97</v>
      </c>
      <c r="G102" s="34"/>
      <c r="H102" s="55"/>
      <c r="I102" s="34" t="s">
        <v>241</v>
      </c>
      <c r="J102" s="34"/>
      <c r="K102" s="34" t="s">
        <v>76</v>
      </c>
      <c r="L102" s="40">
        <f t="shared" si="1"/>
        <v>4</v>
      </c>
    </row>
    <row r="103" ht="15.75" customHeight="1" spans="1:12">
      <c r="A103" s="9"/>
      <c r="B103" s="9">
        <v>2</v>
      </c>
      <c r="C103" s="10" t="s">
        <v>212</v>
      </c>
      <c r="D103" s="34"/>
      <c r="E103" s="36" t="s">
        <v>50</v>
      </c>
      <c r="F103" s="34"/>
      <c r="G103" s="34" t="s">
        <v>120</v>
      </c>
      <c r="H103" s="55"/>
      <c r="I103" s="34" t="s">
        <v>92</v>
      </c>
      <c r="J103" s="34"/>
      <c r="K103" s="34" t="s">
        <v>140</v>
      </c>
      <c r="L103" s="40">
        <f t="shared" si="1"/>
        <v>4</v>
      </c>
    </row>
    <row r="104" ht="15.75" customHeight="1" spans="1:12">
      <c r="A104" s="9"/>
      <c r="B104" s="9">
        <v>3</v>
      </c>
      <c r="C104" s="10" t="s">
        <v>213</v>
      </c>
      <c r="D104" s="34"/>
      <c r="E104" s="36" t="s">
        <v>41</v>
      </c>
      <c r="F104" s="34" t="s">
        <v>37</v>
      </c>
      <c r="G104" s="34"/>
      <c r="H104" s="55"/>
      <c r="I104" s="34" t="s">
        <v>82</v>
      </c>
      <c r="J104" s="34" t="s">
        <v>87</v>
      </c>
      <c r="K104" s="34"/>
      <c r="L104" s="40">
        <f t="shared" si="1"/>
        <v>4</v>
      </c>
    </row>
    <row r="105" ht="15.75" customHeight="1" spans="1:12">
      <c r="A105" s="9"/>
      <c r="B105" s="9">
        <v>4</v>
      </c>
      <c r="C105" s="10" t="s">
        <v>214</v>
      </c>
      <c r="D105" s="34" t="s">
        <v>56</v>
      </c>
      <c r="E105" s="36"/>
      <c r="F105" s="34" t="s">
        <v>114</v>
      </c>
      <c r="G105" s="34" t="s">
        <v>40</v>
      </c>
      <c r="H105" s="55"/>
      <c r="I105" s="34" t="s">
        <v>138</v>
      </c>
      <c r="J105" s="34"/>
      <c r="K105" s="34" t="s">
        <v>62</v>
      </c>
      <c r="L105" s="40">
        <f t="shared" si="1"/>
        <v>5</v>
      </c>
    </row>
    <row r="106" ht="15.75" customHeight="1" spans="1:12">
      <c r="A106" s="9"/>
      <c r="B106" s="9">
        <v>5</v>
      </c>
      <c r="C106" s="10" t="s">
        <v>215</v>
      </c>
      <c r="D106" s="34" t="s">
        <v>60</v>
      </c>
      <c r="E106" s="36" t="s">
        <v>84</v>
      </c>
      <c r="F106" s="34"/>
      <c r="G106" s="34" t="s">
        <v>48</v>
      </c>
      <c r="H106" s="55"/>
      <c r="I106" s="34"/>
      <c r="J106" s="34" t="s">
        <v>86</v>
      </c>
      <c r="K106" s="34"/>
      <c r="L106" s="40">
        <f t="shared" si="1"/>
        <v>4</v>
      </c>
    </row>
    <row r="107" ht="15.75" customHeight="1" spans="1:12">
      <c r="A107" s="9" t="s">
        <v>216</v>
      </c>
      <c r="B107" s="9">
        <v>1</v>
      </c>
      <c r="C107" s="10" t="s">
        <v>217</v>
      </c>
      <c r="D107" s="34"/>
      <c r="E107" s="36" t="s">
        <v>75</v>
      </c>
      <c r="F107" s="34" t="s">
        <v>29</v>
      </c>
      <c r="G107" s="34"/>
      <c r="H107" s="55"/>
      <c r="I107" s="34"/>
      <c r="J107" s="37" t="s">
        <v>242</v>
      </c>
      <c r="K107" s="34" t="s">
        <v>138</v>
      </c>
      <c r="L107" s="40">
        <f t="shared" si="1"/>
        <v>4</v>
      </c>
    </row>
    <row r="108" ht="15.75" customHeight="1" spans="1:13">
      <c r="A108" s="40"/>
      <c r="B108" s="40"/>
      <c r="C108" s="40"/>
      <c r="D108" s="40">
        <f>COUNTIFS(D5:D107,"&gt;""")</f>
        <v>59</v>
      </c>
      <c r="E108" s="40">
        <f>COUNTIFS(E5:E107,"&gt;""")</f>
        <v>58</v>
      </c>
      <c r="F108" s="40">
        <f>COUNTIFS(F5:F107,"&gt;""")</f>
        <v>58</v>
      </c>
      <c r="G108" s="40">
        <f>COUNTIFS(G5:G107,"&gt;""")</f>
        <v>59</v>
      </c>
      <c r="H108" s="63"/>
      <c r="I108" s="40">
        <f>COUNTIFS(I5:I107,"&gt;""")</f>
        <v>58</v>
      </c>
      <c r="J108" s="40">
        <f>COUNTIFS(J5:J107,"&gt;""")</f>
        <v>59</v>
      </c>
      <c r="K108" s="40">
        <f>COUNTIFS(K5:K107,"&gt;""")</f>
        <v>52</v>
      </c>
      <c r="L108" s="40">
        <f>COUNTIFS(L5:L106,"&gt;""")</f>
        <v>0</v>
      </c>
      <c r="M108" s="48"/>
    </row>
    <row r="109" ht="28.5" customHeight="1" spans="1:12">
      <c r="A109" s="44"/>
      <c r="B109" s="45"/>
      <c r="C109" s="46" t="s">
        <v>234</v>
      </c>
      <c r="D109" s="47"/>
      <c r="E109" s="47"/>
      <c r="F109" s="47"/>
      <c r="G109" s="47"/>
      <c r="H109" s="47"/>
      <c r="I109" s="47"/>
      <c r="J109" s="47"/>
      <c r="K109" s="49"/>
      <c r="L109" s="45"/>
    </row>
    <row r="110" spans="3:9">
      <c r="C110"/>
      <c r="G110"/>
      <c r="H110" s="64"/>
      <c r="I110"/>
    </row>
    <row r="116" spans="5:5">
      <c r="E116" s="1"/>
    </row>
  </sheetData>
  <mergeCells count="16">
    <mergeCell ref="A1:L1"/>
    <mergeCell ref="A2:L2"/>
    <mergeCell ref="C109:K109"/>
    <mergeCell ref="A5:A20"/>
    <mergeCell ref="A21:A36"/>
    <mergeCell ref="A37:A52"/>
    <mergeCell ref="A54:A56"/>
    <mergeCell ref="A57:A62"/>
    <mergeCell ref="A63:A66"/>
    <mergeCell ref="A67:A76"/>
    <mergeCell ref="A77:A86"/>
    <mergeCell ref="A87:A90"/>
    <mergeCell ref="A91:A95"/>
    <mergeCell ref="A96:A101"/>
    <mergeCell ref="A102:A106"/>
    <mergeCell ref="L3:L4"/>
  </mergeCells>
  <conditionalFormatting sqref="C101">
    <cfRule type="expression" dxfId="0" priority="1">
      <formula>MOD(ROW(),2)=0</formula>
    </cfRule>
  </conditionalFormatting>
  <conditionalFormatting sqref="C19:C20">
    <cfRule type="expression" dxfId="0" priority="3">
      <formula>MOD(ROW(),2)=0</formula>
    </cfRule>
  </conditionalFormatting>
  <conditionalFormatting sqref="C35:C36">
    <cfRule type="expression" dxfId="0" priority="4">
      <formula>MOD(ROW(),2)=0</formula>
    </cfRule>
  </conditionalFormatting>
  <conditionalFormatting sqref="C84:C85">
    <cfRule type="expression" dxfId="0" priority="2">
      <formula>MOD(ROW(),2)=0</formula>
    </cfRule>
  </conditionalFormatting>
  <conditionalFormatting sqref="D5:D108">
    <cfRule type="duplicateValues" dxfId="1" priority="5"/>
  </conditionalFormatting>
  <conditionalFormatting sqref="E5:E108">
    <cfRule type="duplicateValues" dxfId="1" priority="6"/>
  </conditionalFormatting>
  <conditionalFormatting sqref="F5:F108">
    <cfRule type="duplicateValues" dxfId="1" priority="7"/>
  </conditionalFormatting>
  <conditionalFormatting sqref="G5:G108">
    <cfRule type="duplicateValues" dxfId="1" priority="8"/>
  </conditionalFormatting>
  <conditionalFormatting sqref="I5:I108">
    <cfRule type="duplicateValues" dxfId="1" priority="9"/>
  </conditionalFormatting>
  <conditionalFormatting sqref="J5:J108">
    <cfRule type="duplicateValues" dxfId="1" priority="10"/>
  </conditionalFormatting>
  <conditionalFormatting sqref="K5:K108">
    <cfRule type="duplicateValues" dxfId="1" priority="11"/>
  </conditionalFormatting>
  <conditionalFormatting sqref="B5:L18 D19:L20 B21:L34 D35:L36 B37:L83 D84:L85 B86:L100 D101:L101 B102:L108 B19:B20 B35:B36 B84:B85 B101">
    <cfRule type="expression" dxfId="2" priority="12">
      <formula>MOD(ROW(),2)=1</formula>
    </cfRule>
  </conditionalFormatting>
  <pageMargins left="0.2" right="0.2" top="0" bottom="0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6"/>
  <sheetViews>
    <sheetView zoomScale="147" zoomScaleNormal="147" workbookViewId="0">
      <pane xSplit="3" ySplit="4" topLeftCell="D49" activePane="bottomRight" state="frozen"/>
      <selection/>
      <selection pane="topRight"/>
      <selection pane="bottomLeft"/>
      <selection pane="bottomRight" activeCell="M105" sqref="M105"/>
    </sheetView>
  </sheetViews>
  <sheetFormatPr defaultColWidth="9" defaultRowHeight="14.5"/>
  <cols>
    <col min="1" max="1" width="9" customWidth="1"/>
    <col min="2" max="2" width="3.28181818181818" customWidth="1"/>
    <col min="3" max="3" width="8" style="1" customWidth="1"/>
    <col min="4" max="4" width="10" customWidth="1"/>
    <col min="5" max="5" width="10.1363636363636" customWidth="1"/>
    <col min="6" max="6" width="10" customWidth="1"/>
    <col min="7" max="7" width="10.1363636363636" customWidth="1"/>
    <col min="8" max="8" width="2.70909090909091" customWidth="1"/>
    <col min="9" max="9" width="10.1363636363636" customWidth="1"/>
    <col min="10" max="10" width="10.2818181818182" customWidth="1"/>
    <col min="11" max="11" width="10.1363636363636" customWidth="1"/>
    <col min="12" max="12" width="5.70909090909091" customWidth="1"/>
  </cols>
  <sheetData>
    <row r="1" ht="20.45" customHeight="1" spans="1:12">
      <c r="A1" s="27" t="s">
        <v>218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ht="20.45" customHeight="1" spans="1:12">
      <c r="A2" s="27" t="s">
        <v>243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>
      <c r="A3" s="50" t="s">
        <v>2</v>
      </c>
      <c r="B3" s="50" t="s">
        <v>3</v>
      </c>
      <c r="C3" s="51" t="s">
        <v>4</v>
      </c>
      <c r="D3" s="52" t="s">
        <v>5</v>
      </c>
      <c r="E3" s="52" t="s">
        <v>6</v>
      </c>
      <c r="F3" s="52" t="s">
        <v>7</v>
      </c>
      <c r="G3" s="52" t="s">
        <v>8</v>
      </c>
      <c r="H3" s="52"/>
      <c r="I3" s="52" t="s">
        <v>9</v>
      </c>
      <c r="J3" s="52" t="s">
        <v>10</v>
      </c>
      <c r="K3" s="52" t="s">
        <v>11</v>
      </c>
      <c r="L3" s="52" t="s">
        <v>12</v>
      </c>
    </row>
    <row r="4" s="25" customFormat="1" ht="13" spans="1:12">
      <c r="A4" s="6" t="s">
        <v>2</v>
      </c>
      <c r="B4" s="6" t="s">
        <v>3</v>
      </c>
      <c r="C4" s="7" t="s">
        <v>4</v>
      </c>
      <c r="D4" s="53" t="s">
        <v>13</v>
      </c>
      <c r="E4" s="53" t="s">
        <v>14</v>
      </c>
      <c r="F4" s="53" t="s">
        <v>15</v>
      </c>
      <c r="G4" s="53" t="s">
        <v>16</v>
      </c>
      <c r="H4" s="54"/>
      <c r="I4" s="39" t="s">
        <v>17</v>
      </c>
      <c r="J4" s="39" t="s">
        <v>18</v>
      </c>
      <c r="K4" s="39" t="s">
        <v>19</v>
      </c>
      <c r="L4" s="52"/>
    </row>
    <row r="5" ht="15" customHeight="1" spans="1:12">
      <c r="A5" s="9" t="s">
        <v>20</v>
      </c>
      <c r="B5" s="9">
        <v>1</v>
      </c>
      <c r="C5" s="10" t="s">
        <v>21</v>
      </c>
      <c r="D5" s="34"/>
      <c r="E5" s="36" t="s">
        <v>26</v>
      </c>
      <c r="F5" s="34" t="s">
        <v>27</v>
      </c>
      <c r="G5" s="34"/>
      <c r="H5" s="36"/>
      <c r="I5" s="34"/>
      <c r="J5" s="37" t="s">
        <v>44</v>
      </c>
      <c r="K5" s="34"/>
      <c r="L5" s="40">
        <f t="shared" ref="L5:L71" si="0">COUNTIFS(D5:K5,"&gt;""")</f>
        <v>3</v>
      </c>
    </row>
    <row r="6" ht="15" customHeight="1" spans="1:12">
      <c r="A6" s="9"/>
      <c r="B6" s="9">
        <v>2</v>
      </c>
      <c r="C6" s="10" t="s">
        <v>25</v>
      </c>
      <c r="D6" s="34" t="s">
        <v>24</v>
      </c>
      <c r="E6" s="36" t="s">
        <v>49</v>
      </c>
      <c r="F6" s="34"/>
      <c r="G6" s="34" t="s">
        <v>26</v>
      </c>
      <c r="H6" s="36"/>
      <c r="I6" s="34"/>
      <c r="J6" s="37" t="s">
        <v>28</v>
      </c>
      <c r="K6" s="34"/>
      <c r="L6" s="40">
        <f t="shared" si="0"/>
        <v>4</v>
      </c>
    </row>
    <row r="7" ht="15" customHeight="1" spans="1:12">
      <c r="A7" s="9"/>
      <c r="B7" s="9">
        <v>3</v>
      </c>
      <c r="C7" s="10" t="s">
        <v>30</v>
      </c>
      <c r="D7" s="34" t="s">
        <v>38</v>
      </c>
      <c r="E7" s="36" t="s">
        <v>32</v>
      </c>
      <c r="F7" s="34"/>
      <c r="G7" s="34" t="s">
        <v>31</v>
      </c>
      <c r="H7" s="36"/>
      <c r="I7" s="34"/>
      <c r="J7" s="37" t="s">
        <v>33</v>
      </c>
      <c r="K7" s="34"/>
      <c r="L7" s="40">
        <f t="shared" si="0"/>
        <v>4</v>
      </c>
    </row>
    <row r="8" ht="15" customHeight="1" spans="1:12">
      <c r="A8" s="9"/>
      <c r="B8" s="9">
        <v>4</v>
      </c>
      <c r="C8" s="10" t="s">
        <v>35</v>
      </c>
      <c r="D8" s="34" t="s">
        <v>33</v>
      </c>
      <c r="E8" s="36"/>
      <c r="F8" s="34" t="s">
        <v>65</v>
      </c>
      <c r="G8" s="34" t="s">
        <v>38</v>
      </c>
      <c r="H8" s="36"/>
      <c r="I8" s="34" t="s">
        <v>36</v>
      </c>
      <c r="J8" s="37"/>
      <c r="K8" s="34" t="s">
        <v>31</v>
      </c>
      <c r="L8" s="40">
        <f t="shared" si="0"/>
        <v>5</v>
      </c>
    </row>
    <row r="9" ht="15" customHeight="1" spans="1:12">
      <c r="A9" s="9"/>
      <c r="B9" s="9">
        <v>5</v>
      </c>
      <c r="C9" s="10" t="s">
        <v>39</v>
      </c>
      <c r="D9" s="34" t="s">
        <v>23</v>
      </c>
      <c r="E9" s="36"/>
      <c r="F9" s="34" t="s">
        <v>69</v>
      </c>
      <c r="G9" s="34" t="s">
        <v>41</v>
      </c>
      <c r="H9" s="36"/>
      <c r="I9" s="34"/>
      <c r="J9" s="37" t="s">
        <v>42</v>
      </c>
      <c r="K9" s="34" t="s">
        <v>66</v>
      </c>
      <c r="L9" s="40">
        <f t="shared" si="0"/>
        <v>5</v>
      </c>
    </row>
    <row r="10" ht="15" customHeight="1" spans="1:12">
      <c r="A10" s="9"/>
      <c r="B10" s="9">
        <v>6</v>
      </c>
      <c r="C10" s="10" t="s">
        <v>43</v>
      </c>
      <c r="D10" s="34" t="s">
        <v>42</v>
      </c>
      <c r="E10" s="36"/>
      <c r="F10" s="34" t="s">
        <v>45</v>
      </c>
      <c r="G10" s="34"/>
      <c r="H10" s="36"/>
      <c r="I10" s="34"/>
      <c r="J10" s="37" t="s">
        <v>22</v>
      </c>
      <c r="K10" s="34" t="s">
        <v>64</v>
      </c>
      <c r="L10" s="40">
        <f t="shared" si="0"/>
        <v>4</v>
      </c>
    </row>
    <row r="11" ht="15" customHeight="1" spans="1:12">
      <c r="A11" s="9"/>
      <c r="B11" s="9">
        <v>7</v>
      </c>
      <c r="C11" s="10" t="s">
        <v>46</v>
      </c>
      <c r="D11" s="34" t="s">
        <v>41</v>
      </c>
      <c r="E11" s="36"/>
      <c r="F11" s="34"/>
      <c r="G11" s="34" t="s">
        <v>47</v>
      </c>
      <c r="H11" s="36"/>
      <c r="I11" s="34" t="s">
        <v>112</v>
      </c>
      <c r="J11" s="34"/>
      <c r="K11" s="34" t="s">
        <v>50</v>
      </c>
      <c r="L11" s="40">
        <f t="shared" si="0"/>
        <v>4</v>
      </c>
    </row>
    <row r="12" ht="15" customHeight="1" spans="1:12">
      <c r="A12" s="9"/>
      <c r="B12" s="9">
        <v>8</v>
      </c>
      <c r="C12" s="10" t="s">
        <v>51</v>
      </c>
      <c r="D12" s="34"/>
      <c r="E12" s="36" t="s">
        <v>104</v>
      </c>
      <c r="F12" s="34" t="s">
        <v>55</v>
      </c>
      <c r="G12" s="34"/>
      <c r="H12" s="36"/>
      <c r="I12" s="34" t="s">
        <v>75</v>
      </c>
      <c r="J12" s="37" t="s">
        <v>56</v>
      </c>
      <c r="K12" s="34"/>
      <c r="L12" s="40">
        <f t="shared" si="0"/>
        <v>4</v>
      </c>
    </row>
    <row r="13" ht="15" customHeight="1" spans="1:12">
      <c r="A13" s="9"/>
      <c r="B13" s="9">
        <v>9</v>
      </c>
      <c r="C13" s="10" t="s">
        <v>57</v>
      </c>
      <c r="D13" s="34" t="s">
        <v>28</v>
      </c>
      <c r="E13" s="36" t="s">
        <v>59</v>
      </c>
      <c r="F13" s="34"/>
      <c r="G13" s="34"/>
      <c r="H13" s="36"/>
      <c r="I13" s="34"/>
      <c r="J13" s="37" t="s">
        <v>58</v>
      </c>
      <c r="K13" s="34" t="s">
        <v>89</v>
      </c>
      <c r="L13" s="40">
        <f t="shared" si="0"/>
        <v>4</v>
      </c>
    </row>
    <row r="14" ht="15" customHeight="1" spans="1:12">
      <c r="A14" s="9"/>
      <c r="B14" s="9">
        <v>10</v>
      </c>
      <c r="C14" s="10" t="s">
        <v>63</v>
      </c>
      <c r="D14" s="34" t="s">
        <v>65</v>
      </c>
      <c r="E14" s="36" t="s">
        <v>64</v>
      </c>
      <c r="F14" s="34"/>
      <c r="G14" s="34" t="s">
        <v>80</v>
      </c>
      <c r="H14" s="36"/>
      <c r="I14" s="34"/>
      <c r="J14" s="37" t="s">
        <v>36</v>
      </c>
      <c r="K14" s="34"/>
      <c r="L14" s="40">
        <f t="shared" si="0"/>
        <v>4</v>
      </c>
    </row>
    <row r="15" ht="15" customHeight="1" spans="1:12">
      <c r="A15" s="9"/>
      <c r="B15" s="9">
        <v>11</v>
      </c>
      <c r="C15" s="10" t="s">
        <v>68</v>
      </c>
      <c r="D15" s="34"/>
      <c r="E15" s="36" t="s">
        <v>114</v>
      </c>
      <c r="F15" s="34" t="s">
        <v>60</v>
      </c>
      <c r="G15" s="34"/>
      <c r="H15" s="36"/>
      <c r="I15" s="34"/>
      <c r="J15" s="37" t="s">
        <v>69</v>
      </c>
      <c r="K15" s="34" t="s">
        <v>244</v>
      </c>
      <c r="L15" s="40">
        <f t="shared" si="0"/>
        <v>4</v>
      </c>
    </row>
    <row r="16" ht="15" customHeight="1" spans="1:12">
      <c r="A16" s="9"/>
      <c r="B16" s="9">
        <v>12</v>
      </c>
      <c r="C16" s="10" t="s">
        <v>72</v>
      </c>
      <c r="D16" s="34" t="s">
        <v>55</v>
      </c>
      <c r="E16" s="36" t="s">
        <v>121</v>
      </c>
      <c r="F16" s="34" t="s">
        <v>59</v>
      </c>
      <c r="G16" s="34"/>
      <c r="H16" s="36"/>
      <c r="I16" s="34"/>
      <c r="J16" s="37"/>
      <c r="K16" s="34"/>
      <c r="L16" s="40">
        <f t="shared" si="0"/>
        <v>3</v>
      </c>
    </row>
    <row r="17" ht="15" customHeight="1" spans="1:12">
      <c r="A17" s="9"/>
      <c r="B17" s="9">
        <v>13</v>
      </c>
      <c r="C17" s="10" t="s">
        <v>77</v>
      </c>
      <c r="D17" s="34"/>
      <c r="E17" s="36" t="s">
        <v>48</v>
      </c>
      <c r="F17" s="34"/>
      <c r="G17" s="34" t="s">
        <v>78</v>
      </c>
      <c r="H17" s="36"/>
      <c r="I17" s="34" t="s">
        <v>29</v>
      </c>
      <c r="J17" s="37"/>
      <c r="K17" s="34" t="s">
        <v>32</v>
      </c>
      <c r="L17" s="40">
        <f t="shared" si="0"/>
        <v>4</v>
      </c>
    </row>
    <row r="18" ht="15" customHeight="1" spans="1:12">
      <c r="A18" s="9"/>
      <c r="B18" s="9">
        <v>14</v>
      </c>
      <c r="C18" s="10" t="s">
        <v>79</v>
      </c>
      <c r="D18" s="34"/>
      <c r="E18" s="36" t="s">
        <v>54</v>
      </c>
      <c r="F18" s="34" t="s">
        <v>81</v>
      </c>
      <c r="G18" s="34"/>
      <c r="H18" s="36"/>
      <c r="I18" s="34" t="s">
        <v>37</v>
      </c>
      <c r="J18" s="37"/>
      <c r="K18" s="34" t="s">
        <v>40</v>
      </c>
      <c r="L18" s="40">
        <f t="shared" si="0"/>
        <v>4</v>
      </c>
    </row>
    <row r="19" ht="15" customHeight="1" spans="1:12">
      <c r="A19" s="9"/>
      <c r="B19" s="9">
        <v>15</v>
      </c>
      <c r="C19" s="10" t="s">
        <v>83</v>
      </c>
      <c r="D19" s="34" t="s">
        <v>71</v>
      </c>
      <c r="E19" s="36" t="s">
        <v>97</v>
      </c>
      <c r="F19" s="34"/>
      <c r="G19" s="34"/>
      <c r="H19" s="36"/>
      <c r="I19" s="34" t="s">
        <v>85</v>
      </c>
      <c r="J19" s="37" t="s">
        <v>114</v>
      </c>
      <c r="K19" s="34"/>
      <c r="L19" s="40">
        <f t="shared" si="0"/>
        <v>4</v>
      </c>
    </row>
    <row r="20" ht="15" customHeight="1" spans="1:12">
      <c r="A20" s="9"/>
      <c r="B20" s="9">
        <v>16</v>
      </c>
      <c r="C20" s="10" t="s">
        <v>88</v>
      </c>
      <c r="D20" s="34" t="s">
        <v>120</v>
      </c>
      <c r="E20" s="36"/>
      <c r="F20" s="34" t="s">
        <v>90</v>
      </c>
      <c r="G20" s="34" t="s">
        <v>135</v>
      </c>
      <c r="H20" s="36"/>
      <c r="I20" s="34"/>
      <c r="J20" s="37" t="s">
        <v>89</v>
      </c>
      <c r="K20" s="34"/>
      <c r="L20" s="40">
        <f t="shared" si="0"/>
        <v>4</v>
      </c>
    </row>
    <row r="21" ht="15" customHeight="1" spans="1:12">
      <c r="A21" s="13" t="s">
        <v>93</v>
      </c>
      <c r="B21" s="9">
        <v>1</v>
      </c>
      <c r="C21" s="10" t="s">
        <v>94</v>
      </c>
      <c r="D21" s="34"/>
      <c r="E21" s="36" t="s">
        <v>23</v>
      </c>
      <c r="F21" s="34" t="s">
        <v>80</v>
      </c>
      <c r="G21" s="34"/>
      <c r="H21" s="36"/>
      <c r="I21" s="34" t="s">
        <v>89</v>
      </c>
      <c r="J21" s="37" t="s">
        <v>40</v>
      </c>
      <c r="K21" s="34"/>
      <c r="L21" s="40">
        <f t="shared" si="0"/>
        <v>4</v>
      </c>
    </row>
    <row r="22" ht="15" customHeight="1" spans="1:12">
      <c r="A22" s="14"/>
      <c r="B22" s="9">
        <v>2</v>
      </c>
      <c r="C22" s="10" t="s">
        <v>95</v>
      </c>
      <c r="D22" s="34" t="s">
        <v>85</v>
      </c>
      <c r="E22" s="36"/>
      <c r="F22" s="34" t="s">
        <v>26</v>
      </c>
      <c r="G22" s="34"/>
      <c r="H22" s="36"/>
      <c r="I22" s="34" t="s">
        <v>64</v>
      </c>
      <c r="J22" s="37" t="s">
        <v>60</v>
      </c>
      <c r="K22" s="34"/>
      <c r="L22" s="40">
        <f t="shared" si="0"/>
        <v>4</v>
      </c>
    </row>
    <row r="23" ht="15" customHeight="1" spans="1:12">
      <c r="A23" s="14"/>
      <c r="B23" s="9">
        <v>3</v>
      </c>
      <c r="C23" s="10" t="s">
        <v>96</v>
      </c>
      <c r="D23" s="34" t="s">
        <v>56</v>
      </c>
      <c r="E23" s="36"/>
      <c r="F23" s="34" t="s">
        <v>58</v>
      </c>
      <c r="G23" s="34"/>
      <c r="H23" s="36"/>
      <c r="I23" s="34" t="s">
        <v>49</v>
      </c>
      <c r="J23" s="37"/>
      <c r="K23" s="34" t="s">
        <v>28</v>
      </c>
      <c r="L23" s="40">
        <f t="shared" si="0"/>
        <v>4</v>
      </c>
    </row>
    <row r="24" ht="15" customHeight="1" spans="1:12">
      <c r="A24" s="14"/>
      <c r="B24" s="9">
        <v>4</v>
      </c>
      <c r="C24" s="10" t="s">
        <v>98</v>
      </c>
      <c r="D24" s="34" t="s">
        <v>34</v>
      </c>
      <c r="E24" s="36"/>
      <c r="F24" s="34"/>
      <c r="G24" s="34" t="s">
        <v>71</v>
      </c>
      <c r="H24" s="36"/>
      <c r="I24" s="34" t="s">
        <v>59</v>
      </c>
      <c r="J24" s="37"/>
      <c r="K24" s="34" t="s">
        <v>37</v>
      </c>
      <c r="L24" s="40">
        <f t="shared" si="0"/>
        <v>4</v>
      </c>
    </row>
    <row r="25" ht="15" customHeight="1" spans="1:12">
      <c r="A25" s="14"/>
      <c r="B25" s="9">
        <v>5</v>
      </c>
      <c r="C25" s="10" t="s">
        <v>99</v>
      </c>
      <c r="D25" s="34" t="s">
        <v>26</v>
      </c>
      <c r="E25" s="36"/>
      <c r="F25" s="34" t="s">
        <v>100</v>
      </c>
      <c r="G25" s="34"/>
      <c r="H25" s="36"/>
      <c r="I25" s="34" t="s">
        <v>73</v>
      </c>
      <c r="J25" s="37" t="s">
        <v>48</v>
      </c>
      <c r="K25" s="34"/>
      <c r="L25" s="40">
        <f t="shared" si="0"/>
        <v>4</v>
      </c>
    </row>
    <row r="26" ht="15" customHeight="1" spans="1:12">
      <c r="A26" s="14"/>
      <c r="B26" s="9">
        <v>6</v>
      </c>
      <c r="C26" s="10" t="s">
        <v>101</v>
      </c>
      <c r="D26" s="34" t="s">
        <v>144</v>
      </c>
      <c r="E26" s="36"/>
      <c r="F26" s="34" t="s">
        <v>54</v>
      </c>
      <c r="G26" s="34" t="s">
        <v>74</v>
      </c>
      <c r="H26" s="36"/>
      <c r="I26" s="34"/>
      <c r="J26" s="37"/>
      <c r="K26" s="34" t="s">
        <v>69</v>
      </c>
      <c r="L26" s="40">
        <f t="shared" si="0"/>
        <v>4</v>
      </c>
    </row>
    <row r="27" ht="15" customHeight="1" spans="1:12">
      <c r="A27" s="14"/>
      <c r="B27" s="9">
        <v>7</v>
      </c>
      <c r="C27" s="10" t="s">
        <v>102</v>
      </c>
      <c r="D27" s="34" t="s">
        <v>90</v>
      </c>
      <c r="E27" s="36" t="s">
        <v>24</v>
      </c>
      <c r="F27" s="34"/>
      <c r="G27" s="34" t="s">
        <v>40</v>
      </c>
      <c r="H27" s="36"/>
      <c r="I27" s="34"/>
      <c r="J27" s="37" t="s">
        <v>67</v>
      </c>
      <c r="K27" s="34"/>
      <c r="L27" s="40">
        <f t="shared" si="0"/>
        <v>4</v>
      </c>
    </row>
    <row r="28" ht="15" customHeight="1" spans="1:12">
      <c r="A28" s="14"/>
      <c r="B28" s="9">
        <v>8</v>
      </c>
      <c r="C28" s="10" t="s">
        <v>103</v>
      </c>
      <c r="D28" s="34"/>
      <c r="E28" s="36" t="s">
        <v>27</v>
      </c>
      <c r="F28" s="34"/>
      <c r="G28" s="34" t="s">
        <v>64</v>
      </c>
      <c r="H28" s="36"/>
      <c r="I28" s="34"/>
      <c r="J28" s="37" t="s">
        <v>121</v>
      </c>
      <c r="K28" s="34" t="s">
        <v>92</v>
      </c>
      <c r="L28" s="40">
        <f t="shared" si="0"/>
        <v>4</v>
      </c>
    </row>
    <row r="29" ht="15" customHeight="1" spans="1:12">
      <c r="A29" s="14"/>
      <c r="B29" s="9">
        <v>9</v>
      </c>
      <c r="C29" s="10" t="s">
        <v>105</v>
      </c>
      <c r="D29" s="34" t="s">
        <v>132</v>
      </c>
      <c r="E29" s="36"/>
      <c r="F29" s="34" t="s">
        <v>66</v>
      </c>
      <c r="G29" s="34"/>
      <c r="H29" s="36"/>
      <c r="I29" s="34" t="s">
        <v>69</v>
      </c>
      <c r="J29" s="37" t="s">
        <v>65</v>
      </c>
      <c r="K29" s="34"/>
      <c r="L29" s="40">
        <f t="shared" si="0"/>
        <v>4</v>
      </c>
    </row>
    <row r="30" ht="15" customHeight="1" spans="1:12">
      <c r="A30" s="14"/>
      <c r="B30" s="9">
        <v>10</v>
      </c>
      <c r="C30" s="10" t="s">
        <v>106</v>
      </c>
      <c r="D30" s="34"/>
      <c r="E30" s="36" t="s">
        <v>107</v>
      </c>
      <c r="F30" s="34"/>
      <c r="G30" s="34" t="s">
        <v>75</v>
      </c>
      <c r="H30" s="36"/>
      <c r="I30" s="34"/>
      <c r="J30" s="37" t="s">
        <v>108</v>
      </c>
      <c r="K30" s="34"/>
      <c r="L30" s="40">
        <f t="shared" si="0"/>
        <v>3</v>
      </c>
    </row>
    <row r="31" ht="15" customHeight="1" spans="1:12">
      <c r="A31" s="14"/>
      <c r="B31" s="9">
        <v>11</v>
      </c>
      <c r="C31" s="10" t="s">
        <v>109</v>
      </c>
      <c r="D31" s="34"/>
      <c r="E31" s="36" t="s">
        <v>50</v>
      </c>
      <c r="F31" s="34" t="s">
        <v>78</v>
      </c>
      <c r="G31" s="34"/>
      <c r="H31" s="36"/>
      <c r="I31" s="34" t="s">
        <v>62</v>
      </c>
      <c r="J31" s="40"/>
      <c r="K31" s="1" t="s">
        <v>29</v>
      </c>
      <c r="L31" s="40">
        <f t="shared" si="0"/>
        <v>4</v>
      </c>
    </row>
    <row r="32" ht="15" customHeight="1" spans="1:12">
      <c r="A32" s="14"/>
      <c r="B32" s="9">
        <v>12</v>
      </c>
      <c r="C32" s="10" t="s">
        <v>110</v>
      </c>
      <c r="D32" s="34" t="s">
        <v>32</v>
      </c>
      <c r="E32" s="36"/>
      <c r="F32" s="34" t="s">
        <v>31</v>
      </c>
      <c r="G32" s="34"/>
      <c r="H32" s="36"/>
      <c r="I32" s="34" t="s">
        <v>53</v>
      </c>
      <c r="J32" s="37"/>
      <c r="K32" s="34"/>
      <c r="L32" s="40">
        <f t="shared" si="0"/>
        <v>3</v>
      </c>
    </row>
    <row r="33" ht="15" customHeight="1" spans="1:12">
      <c r="A33" s="14"/>
      <c r="B33" s="9">
        <v>13</v>
      </c>
      <c r="C33" s="10" t="s">
        <v>113</v>
      </c>
      <c r="D33" s="34" t="s">
        <v>45</v>
      </c>
      <c r="E33" s="36" t="s">
        <v>129</v>
      </c>
      <c r="F33" s="34"/>
      <c r="G33" s="34" t="s">
        <v>114</v>
      </c>
      <c r="H33" s="36"/>
      <c r="I33" s="34" t="s">
        <v>23</v>
      </c>
      <c r="J33" s="37" t="s">
        <v>115</v>
      </c>
      <c r="K33" s="34"/>
      <c r="L33" s="40">
        <f t="shared" si="0"/>
        <v>5</v>
      </c>
    </row>
    <row r="34" ht="15" customHeight="1" spans="1:12">
      <c r="A34" s="14"/>
      <c r="B34" s="9">
        <v>14</v>
      </c>
      <c r="C34" s="10" t="s">
        <v>116</v>
      </c>
      <c r="D34" s="34"/>
      <c r="E34" s="36" t="s">
        <v>33</v>
      </c>
      <c r="F34" s="34" t="s">
        <v>36</v>
      </c>
      <c r="G34" s="34"/>
      <c r="H34" s="36"/>
      <c r="I34" s="34"/>
      <c r="J34" s="37" t="s">
        <v>87</v>
      </c>
      <c r="K34" s="34" t="s">
        <v>42</v>
      </c>
      <c r="L34" s="40">
        <f t="shared" si="0"/>
        <v>4</v>
      </c>
    </row>
    <row r="35" ht="15" customHeight="1" spans="1:12">
      <c r="A35" s="14"/>
      <c r="B35" s="9">
        <v>15</v>
      </c>
      <c r="C35" s="10" t="s">
        <v>117</v>
      </c>
      <c r="D35" s="34" t="s">
        <v>84</v>
      </c>
      <c r="E35" s="36"/>
      <c r="F35" s="34" t="s">
        <v>135</v>
      </c>
      <c r="G35" s="34"/>
      <c r="H35" s="36"/>
      <c r="I35" s="34" t="s">
        <v>91</v>
      </c>
      <c r="J35" s="37" t="s">
        <v>76</v>
      </c>
      <c r="K35" s="34"/>
      <c r="L35" s="40">
        <f t="shared" si="0"/>
        <v>4</v>
      </c>
    </row>
    <row r="36" ht="15" customHeight="1" spans="1:12">
      <c r="A36" s="15"/>
      <c r="B36" s="9">
        <v>16</v>
      </c>
      <c r="C36" s="10" t="s">
        <v>119</v>
      </c>
      <c r="D36" s="34" t="s">
        <v>75</v>
      </c>
      <c r="E36" s="36" t="s">
        <v>81</v>
      </c>
      <c r="F36" s="34"/>
      <c r="G36" s="34" t="s">
        <v>120</v>
      </c>
      <c r="H36" s="36"/>
      <c r="I36" s="34" t="s">
        <v>118</v>
      </c>
      <c r="J36" s="37" t="s">
        <v>82</v>
      </c>
      <c r="K36" s="34"/>
      <c r="L36" s="40">
        <f t="shared" si="0"/>
        <v>5</v>
      </c>
    </row>
    <row r="37" ht="15" customHeight="1" spans="1:12">
      <c r="A37" s="9" t="s">
        <v>122</v>
      </c>
      <c r="B37" s="16">
        <v>1</v>
      </c>
      <c r="C37" s="10" t="s">
        <v>123</v>
      </c>
      <c r="D37" s="34"/>
      <c r="E37" s="36"/>
      <c r="F37" s="34"/>
      <c r="G37" s="34" t="s">
        <v>49</v>
      </c>
      <c r="H37" s="36"/>
      <c r="I37" s="34"/>
      <c r="J37" s="37"/>
      <c r="K37" s="34"/>
      <c r="L37" s="40">
        <f t="shared" si="0"/>
        <v>1</v>
      </c>
    </row>
    <row r="38" ht="15" customHeight="1" spans="1:12">
      <c r="A38" s="9"/>
      <c r="B38" s="16">
        <v>2</v>
      </c>
      <c r="C38" s="10" t="s">
        <v>124</v>
      </c>
      <c r="D38" s="34"/>
      <c r="E38" s="36" t="s">
        <v>66</v>
      </c>
      <c r="F38" s="34"/>
      <c r="G38" s="34" t="s">
        <v>23</v>
      </c>
      <c r="H38" s="36"/>
      <c r="I38" s="34" t="s">
        <v>114</v>
      </c>
      <c r="J38" s="37"/>
      <c r="K38" s="34"/>
      <c r="L38" s="40">
        <f t="shared" si="0"/>
        <v>3</v>
      </c>
    </row>
    <row r="39" ht="15" customHeight="1" spans="1:12">
      <c r="A39" s="9"/>
      <c r="B39" s="16">
        <v>3</v>
      </c>
      <c r="C39" s="10" t="s">
        <v>125</v>
      </c>
      <c r="D39" s="42"/>
      <c r="E39" s="36" t="s">
        <v>55</v>
      </c>
      <c r="F39" s="34"/>
      <c r="G39" s="34" t="s">
        <v>58</v>
      </c>
      <c r="H39" s="36"/>
      <c r="I39" s="34" t="s">
        <v>121</v>
      </c>
      <c r="J39" s="37" t="s">
        <v>27</v>
      </c>
      <c r="K39" s="34"/>
      <c r="L39" s="40">
        <f t="shared" si="0"/>
        <v>4</v>
      </c>
    </row>
    <row r="40" ht="15" customHeight="1" spans="1:12">
      <c r="A40" s="9"/>
      <c r="B40" s="16">
        <v>4</v>
      </c>
      <c r="C40" s="10" t="s">
        <v>126</v>
      </c>
      <c r="D40" s="34" t="s">
        <v>73</v>
      </c>
      <c r="E40" s="36"/>
      <c r="F40" s="34" t="s">
        <v>33</v>
      </c>
      <c r="G40" s="34"/>
      <c r="H40" s="36"/>
      <c r="I40" s="34"/>
      <c r="J40" s="37" t="s">
        <v>32</v>
      </c>
      <c r="K40" s="34"/>
      <c r="L40" s="40">
        <f t="shared" si="0"/>
        <v>3</v>
      </c>
    </row>
    <row r="41" ht="15" customHeight="1" spans="1:12">
      <c r="A41" s="9"/>
      <c r="B41" s="16">
        <v>5</v>
      </c>
      <c r="C41" s="10" t="s">
        <v>127</v>
      </c>
      <c r="D41" s="34"/>
      <c r="E41" s="36" t="s">
        <v>58</v>
      </c>
      <c r="F41" s="34"/>
      <c r="G41" s="34" t="s">
        <v>60</v>
      </c>
      <c r="H41" s="36"/>
      <c r="I41" s="34" t="s">
        <v>40</v>
      </c>
      <c r="J41" s="37"/>
      <c r="K41" s="34"/>
      <c r="L41" s="40">
        <f t="shared" si="0"/>
        <v>3</v>
      </c>
    </row>
    <row r="42" ht="15" customHeight="1" spans="1:12">
      <c r="A42" s="9"/>
      <c r="B42" s="16">
        <v>6</v>
      </c>
      <c r="C42" s="10" t="s">
        <v>128</v>
      </c>
      <c r="D42" s="34"/>
      <c r="E42" s="36" t="s">
        <v>52</v>
      </c>
      <c r="F42" s="34" t="s">
        <v>42</v>
      </c>
      <c r="G42" s="34"/>
      <c r="H42" s="36"/>
      <c r="I42" s="37" t="s">
        <v>41</v>
      </c>
      <c r="J42" s="37" t="s">
        <v>45</v>
      </c>
      <c r="K42" s="34"/>
      <c r="L42" s="40">
        <f t="shared" si="0"/>
        <v>4</v>
      </c>
    </row>
    <row r="43" ht="15" customHeight="1" spans="1:12">
      <c r="A43" s="9"/>
      <c r="B43" s="16">
        <v>7</v>
      </c>
      <c r="C43" s="10" t="s">
        <v>130</v>
      </c>
      <c r="D43" s="34" t="s">
        <v>44</v>
      </c>
      <c r="E43" s="36"/>
      <c r="F43" s="34"/>
      <c r="G43" s="34" t="s">
        <v>27</v>
      </c>
      <c r="H43" s="36"/>
      <c r="I43" s="34"/>
      <c r="J43" s="37" t="s">
        <v>31</v>
      </c>
      <c r="K43" s="34"/>
      <c r="L43" s="40">
        <f t="shared" si="0"/>
        <v>3</v>
      </c>
    </row>
    <row r="44" ht="15" customHeight="1" spans="1:12">
      <c r="A44" s="9"/>
      <c r="B44" s="16">
        <v>8</v>
      </c>
      <c r="C44" s="10" t="s">
        <v>131</v>
      </c>
      <c r="D44" s="34" t="s">
        <v>47</v>
      </c>
      <c r="E44" s="36"/>
      <c r="F44" s="34" t="s">
        <v>132</v>
      </c>
      <c r="G44" s="34" t="s">
        <v>100</v>
      </c>
      <c r="H44" s="36"/>
      <c r="I44" s="34"/>
      <c r="J44" s="37" t="s">
        <v>112</v>
      </c>
      <c r="K44" s="34"/>
      <c r="L44" s="40">
        <f t="shared" si="0"/>
        <v>4</v>
      </c>
    </row>
    <row r="45" ht="15" customHeight="1" spans="1:12">
      <c r="A45" s="9"/>
      <c r="B45" s="16">
        <v>9</v>
      </c>
      <c r="C45" s="10" t="s">
        <v>133</v>
      </c>
      <c r="D45" s="34" t="s">
        <v>29</v>
      </c>
      <c r="E45" s="36"/>
      <c r="F45" s="34" t="s">
        <v>71</v>
      </c>
      <c r="G45" s="34"/>
      <c r="H45" s="36"/>
      <c r="I45" s="34" t="s">
        <v>33</v>
      </c>
      <c r="J45" s="37" t="s">
        <v>26</v>
      </c>
      <c r="K45" s="34"/>
      <c r="L45" s="40">
        <f t="shared" si="0"/>
        <v>4</v>
      </c>
    </row>
    <row r="46" ht="15" customHeight="1" spans="1:12">
      <c r="A46" s="9"/>
      <c r="B46" s="16">
        <v>10</v>
      </c>
      <c r="C46" s="10" t="s">
        <v>134</v>
      </c>
      <c r="D46" s="42" t="s">
        <v>37</v>
      </c>
      <c r="E46" s="36" t="s">
        <v>135</v>
      </c>
      <c r="F46" s="34"/>
      <c r="G46" s="34"/>
      <c r="H46" s="36"/>
      <c r="I46" s="34" t="s">
        <v>78</v>
      </c>
      <c r="J46" s="37"/>
      <c r="K46" s="34"/>
      <c r="L46" s="40">
        <f t="shared" si="0"/>
        <v>3</v>
      </c>
    </row>
    <row r="47" ht="15" customHeight="1" spans="1:12">
      <c r="A47" s="9"/>
      <c r="B47" s="16">
        <v>11</v>
      </c>
      <c r="C47" s="10" t="s">
        <v>136</v>
      </c>
      <c r="D47" s="34"/>
      <c r="E47" s="34" t="s">
        <v>38</v>
      </c>
      <c r="G47" s="34" t="s">
        <v>90</v>
      </c>
      <c r="H47" s="36"/>
      <c r="I47" s="34" t="s">
        <v>50</v>
      </c>
      <c r="J47" s="37" t="s">
        <v>86</v>
      </c>
      <c r="K47" s="34"/>
      <c r="L47" s="40">
        <f t="shared" si="0"/>
        <v>4</v>
      </c>
    </row>
    <row r="48" ht="15" customHeight="1" spans="1:12">
      <c r="A48" s="9"/>
      <c r="B48" s="16">
        <v>12</v>
      </c>
      <c r="C48" s="10" t="s">
        <v>137</v>
      </c>
      <c r="D48" s="34"/>
      <c r="E48" s="36" t="s">
        <v>56</v>
      </c>
      <c r="F48" s="34"/>
      <c r="G48" s="34" t="s">
        <v>107</v>
      </c>
      <c r="H48" s="36"/>
      <c r="I48" s="34" t="s">
        <v>81</v>
      </c>
      <c r="J48" s="37"/>
      <c r="K48" s="34"/>
      <c r="L48" s="40">
        <f t="shared" si="0"/>
        <v>3</v>
      </c>
    </row>
    <row r="49" ht="15" customHeight="1" spans="1:12">
      <c r="A49" s="9"/>
      <c r="B49" s="16">
        <v>13</v>
      </c>
      <c r="C49" s="10" t="s">
        <v>139</v>
      </c>
      <c r="D49" s="34" t="s">
        <v>48</v>
      </c>
      <c r="E49" s="36" t="s">
        <v>85</v>
      </c>
      <c r="F49" s="34"/>
      <c r="G49" s="34" t="s">
        <v>104</v>
      </c>
      <c r="H49" s="36"/>
      <c r="I49" s="34"/>
      <c r="J49" s="37" t="s">
        <v>53</v>
      </c>
      <c r="K49" s="34"/>
      <c r="L49" s="40">
        <f t="shared" si="0"/>
        <v>4</v>
      </c>
    </row>
    <row r="50" ht="15" customHeight="1" spans="1:12">
      <c r="A50" s="9"/>
      <c r="B50" s="16">
        <v>14</v>
      </c>
      <c r="C50" s="10" t="s">
        <v>141</v>
      </c>
      <c r="D50" s="34" t="s">
        <v>89</v>
      </c>
      <c r="E50" s="55"/>
      <c r="F50" s="34" t="s">
        <v>97</v>
      </c>
      <c r="G50" s="34"/>
      <c r="H50" s="36"/>
      <c r="I50" s="34" t="s">
        <v>76</v>
      </c>
      <c r="J50" s="37" t="s">
        <v>245</v>
      </c>
      <c r="K50" s="34"/>
      <c r="L50" s="40">
        <f t="shared" si="0"/>
        <v>4</v>
      </c>
    </row>
    <row r="51" ht="15" customHeight="1" spans="1:12">
      <c r="A51" s="9"/>
      <c r="B51" s="16">
        <v>15</v>
      </c>
      <c r="C51" s="10" t="s">
        <v>142</v>
      </c>
      <c r="D51" s="34" t="s">
        <v>74</v>
      </c>
      <c r="E51" s="55"/>
      <c r="F51" s="34" t="s">
        <v>34</v>
      </c>
      <c r="G51" s="34"/>
      <c r="H51" s="36"/>
      <c r="I51" s="34" t="s">
        <v>24</v>
      </c>
      <c r="J51" s="37"/>
      <c r="K51" s="34" t="s">
        <v>67</v>
      </c>
      <c r="L51" s="40">
        <f t="shared" si="0"/>
        <v>4</v>
      </c>
    </row>
    <row r="52" ht="15" customHeight="1" spans="1:12">
      <c r="A52" s="9"/>
      <c r="B52" s="16">
        <v>16</v>
      </c>
      <c r="C52" s="10" t="s">
        <v>143</v>
      </c>
      <c r="D52" s="34"/>
      <c r="E52" s="36" t="s">
        <v>84</v>
      </c>
      <c r="F52" s="34" t="s">
        <v>111</v>
      </c>
      <c r="G52" s="34"/>
      <c r="H52" s="36"/>
      <c r="I52" s="34" t="s">
        <v>92</v>
      </c>
      <c r="J52" s="37"/>
      <c r="K52" s="34" t="s">
        <v>70</v>
      </c>
      <c r="L52" s="40">
        <f t="shared" si="0"/>
        <v>4</v>
      </c>
    </row>
    <row r="53" ht="15" customHeight="1" spans="1:12">
      <c r="A53" s="17" t="s">
        <v>145</v>
      </c>
      <c r="B53" s="9">
        <v>1</v>
      </c>
      <c r="C53" s="10" t="s">
        <v>146</v>
      </c>
      <c r="D53" s="34" t="s">
        <v>49</v>
      </c>
      <c r="E53" s="36" t="s">
        <v>90</v>
      </c>
      <c r="F53" s="34"/>
      <c r="G53" s="34" t="s">
        <v>69</v>
      </c>
      <c r="H53" s="36"/>
      <c r="I53" s="34"/>
      <c r="J53" s="37"/>
      <c r="K53" s="34" t="s">
        <v>73</v>
      </c>
      <c r="L53" s="40">
        <f t="shared" si="0"/>
        <v>4</v>
      </c>
    </row>
    <row r="54" ht="15" customHeight="1" spans="1:12">
      <c r="A54" s="13" t="s">
        <v>147</v>
      </c>
      <c r="B54" s="9">
        <v>2</v>
      </c>
      <c r="C54" s="10" t="s">
        <v>148</v>
      </c>
      <c r="D54" s="34" t="s">
        <v>81</v>
      </c>
      <c r="E54" s="36" t="s">
        <v>44</v>
      </c>
      <c r="F54" s="34"/>
      <c r="G54" s="34" t="s">
        <v>66</v>
      </c>
      <c r="H54" s="36"/>
      <c r="I54" s="34"/>
      <c r="J54" s="37" t="s">
        <v>41</v>
      </c>
      <c r="K54" s="34"/>
      <c r="L54" s="40">
        <f t="shared" si="0"/>
        <v>4</v>
      </c>
    </row>
    <row r="55" ht="15" customHeight="1" spans="1:12">
      <c r="A55" s="14"/>
      <c r="B55" s="9">
        <v>3</v>
      </c>
      <c r="C55" s="10" t="s">
        <v>149</v>
      </c>
      <c r="D55" s="34"/>
      <c r="E55" s="36" t="s">
        <v>22</v>
      </c>
      <c r="F55" s="34" t="s">
        <v>129</v>
      </c>
      <c r="G55" s="34"/>
      <c r="H55" s="36"/>
      <c r="I55" s="34" t="s">
        <v>27</v>
      </c>
      <c r="J55" s="37"/>
      <c r="K55" s="34" t="s">
        <v>58</v>
      </c>
      <c r="L55" s="40">
        <f t="shared" si="0"/>
        <v>4</v>
      </c>
    </row>
    <row r="56" ht="15" customHeight="1" spans="1:12">
      <c r="A56" s="15"/>
      <c r="B56" s="9">
        <v>4</v>
      </c>
      <c r="C56" s="10" t="s">
        <v>150</v>
      </c>
      <c r="D56" s="34" t="s">
        <v>104</v>
      </c>
      <c r="E56" s="36"/>
      <c r="F56" s="34" t="s">
        <v>120</v>
      </c>
      <c r="G56" s="34" t="s">
        <v>34</v>
      </c>
      <c r="H56" s="36"/>
      <c r="I56" s="34" t="s">
        <v>80</v>
      </c>
      <c r="J56" s="37"/>
      <c r="K56" s="34" t="s">
        <v>33</v>
      </c>
      <c r="L56" s="40">
        <f t="shared" si="0"/>
        <v>5</v>
      </c>
    </row>
    <row r="57" ht="15" customHeight="1" spans="1:12">
      <c r="A57" s="13" t="s">
        <v>151</v>
      </c>
      <c r="B57" s="9">
        <v>5</v>
      </c>
      <c r="C57" s="10" t="s">
        <v>152</v>
      </c>
      <c r="D57" s="34" t="s">
        <v>121</v>
      </c>
      <c r="E57" s="36" t="s">
        <v>78</v>
      </c>
      <c r="F57" s="34"/>
      <c r="G57" s="34" t="s">
        <v>28</v>
      </c>
      <c r="H57" s="36"/>
      <c r="I57" s="34" t="s">
        <v>22</v>
      </c>
      <c r="J57" s="37"/>
      <c r="K57" s="34" t="s">
        <v>53</v>
      </c>
      <c r="L57" s="40">
        <f t="shared" si="0"/>
        <v>5</v>
      </c>
    </row>
    <row r="58" ht="15" customHeight="1" spans="1:12">
      <c r="A58" s="14"/>
      <c r="B58" s="9">
        <v>6</v>
      </c>
      <c r="C58" s="10" t="s">
        <v>153</v>
      </c>
      <c r="D58" s="34" t="s">
        <v>66</v>
      </c>
      <c r="E58" s="36" t="s">
        <v>111</v>
      </c>
      <c r="F58" s="34"/>
      <c r="G58" s="34" t="s">
        <v>89</v>
      </c>
      <c r="H58" s="36"/>
      <c r="I58" s="34"/>
      <c r="J58" s="37"/>
      <c r="K58" s="34" t="s">
        <v>56</v>
      </c>
      <c r="L58" s="40">
        <f t="shared" si="0"/>
        <v>4</v>
      </c>
    </row>
    <row r="59" ht="15" customHeight="1" spans="1:12">
      <c r="A59" s="14"/>
      <c r="B59" s="9">
        <v>7</v>
      </c>
      <c r="C59" s="10" t="s">
        <v>154</v>
      </c>
      <c r="D59" s="34" t="s">
        <v>100</v>
      </c>
      <c r="E59" s="36"/>
      <c r="F59" s="34" t="s">
        <v>49</v>
      </c>
      <c r="G59" s="34"/>
      <c r="H59" s="36"/>
      <c r="I59" s="34"/>
      <c r="J59" s="37" t="s">
        <v>34</v>
      </c>
      <c r="K59" s="34"/>
      <c r="L59" s="40">
        <f t="shared" si="0"/>
        <v>3</v>
      </c>
    </row>
    <row r="60" ht="15" customHeight="1" spans="1:12">
      <c r="A60" s="14"/>
      <c r="B60" s="9">
        <v>8</v>
      </c>
      <c r="C60" s="10" t="s">
        <v>155</v>
      </c>
      <c r="D60" s="34" t="s">
        <v>60</v>
      </c>
      <c r="E60" s="36" t="s">
        <v>144</v>
      </c>
      <c r="F60" s="34"/>
      <c r="G60" s="34" t="s">
        <v>97</v>
      </c>
      <c r="H60" s="36"/>
      <c r="I60" s="42"/>
      <c r="J60" s="37"/>
      <c r="K60" s="34" t="s">
        <v>44</v>
      </c>
      <c r="L60" s="40">
        <f t="shared" si="0"/>
        <v>4</v>
      </c>
    </row>
    <row r="61" ht="15" customHeight="1" spans="1:12">
      <c r="A61" s="14"/>
      <c r="B61" s="9">
        <v>9</v>
      </c>
      <c r="C61" s="10" t="s">
        <v>156</v>
      </c>
      <c r="D61" s="34" t="s">
        <v>52</v>
      </c>
      <c r="E61" s="36" t="s">
        <v>74</v>
      </c>
      <c r="F61" s="34"/>
      <c r="G61" s="34"/>
      <c r="H61" s="36"/>
      <c r="I61" s="34" t="s">
        <v>65</v>
      </c>
      <c r="J61" s="37"/>
      <c r="K61" s="34" t="s">
        <v>55</v>
      </c>
      <c r="L61" s="40">
        <f t="shared" si="0"/>
        <v>4</v>
      </c>
    </row>
    <row r="62" ht="15" customHeight="1" spans="1:12">
      <c r="A62" s="15"/>
      <c r="B62" s="9">
        <v>10</v>
      </c>
      <c r="C62" s="10" t="s">
        <v>157</v>
      </c>
      <c r="D62" s="34" t="s">
        <v>107</v>
      </c>
      <c r="E62" s="36" t="s">
        <v>47</v>
      </c>
      <c r="F62" s="34"/>
      <c r="G62" s="34" t="s">
        <v>45</v>
      </c>
      <c r="H62" s="36"/>
      <c r="I62" s="34"/>
      <c r="J62" s="37" t="s">
        <v>73</v>
      </c>
      <c r="K62" s="34"/>
      <c r="L62" s="40">
        <f t="shared" si="0"/>
        <v>4</v>
      </c>
    </row>
    <row r="63" ht="15" customHeight="1" spans="1:12">
      <c r="A63" s="13" t="s">
        <v>158</v>
      </c>
      <c r="B63" s="9">
        <v>11</v>
      </c>
      <c r="C63" s="10" t="s">
        <v>159</v>
      </c>
      <c r="D63" s="34" t="s">
        <v>54</v>
      </c>
      <c r="E63" s="36"/>
      <c r="F63" s="34" t="s">
        <v>85</v>
      </c>
      <c r="G63" s="34" t="s">
        <v>44</v>
      </c>
      <c r="H63" s="36"/>
      <c r="I63" s="34"/>
      <c r="J63" s="37"/>
      <c r="K63" s="34" t="s">
        <v>26</v>
      </c>
      <c r="L63" s="40">
        <f t="shared" si="0"/>
        <v>4</v>
      </c>
    </row>
    <row r="64" ht="15" customHeight="1" spans="1:12">
      <c r="A64" s="14"/>
      <c r="B64" s="9">
        <v>12</v>
      </c>
      <c r="C64" s="10" t="s">
        <v>160</v>
      </c>
      <c r="D64" s="34" t="s">
        <v>40</v>
      </c>
      <c r="E64" s="36"/>
      <c r="F64" s="34" t="s">
        <v>75</v>
      </c>
      <c r="G64" s="34"/>
      <c r="H64" s="36"/>
      <c r="I64" s="34" t="s">
        <v>32</v>
      </c>
      <c r="J64" s="34"/>
      <c r="K64" s="1" t="s">
        <v>34</v>
      </c>
      <c r="L64" s="40">
        <f t="shared" si="0"/>
        <v>4</v>
      </c>
    </row>
    <row r="65" ht="15" customHeight="1" spans="1:12">
      <c r="A65" s="14"/>
      <c r="B65" s="9">
        <v>13</v>
      </c>
      <c r="C65" s="10" t="s">
        <v>161</v>
      </c>
      <c r="D65" s="34"/>
      <c r="E65" s="36" t="s">
        <v>69</v>
      </c>
      <c r="F65" s="34" t="s">
        <v>84</v>
      </c>
      <c r="G65" s="34"/>
      <c r="H65" s="36"/>
      <c r="I65" s="34" t="s">
        <v>66</v>
      </c>
      <c r="J65" s="37" t="s">
        <v>55</v>
      </c>
      <c r="K65" s="34"/>
      <c r="L65" s="40">
        <f t="shared" si="0"/>
        <v>4</v>
      </c>
    </row>
    <row r="66" ht="15" customHeight="1" spans="1:12">
      <c r="A66" s="15"/>
      <c r="B66" s="9">
        <v>14</v>
      </c>
      <c r="C66" s="10" t="s">
        <v>162</v>
      </c>
      <c r="D66" s="34" t="s">
        <v>58</v>
      </c>
      <c r="E66" s="36" t="s">
        <v>132</v>
      </c>
      <c r="F66" s="34"/>
      <c r="G66" s="34"/>
      <c r="H66" s="36"/>
      <c r="I66" s="34" t="s">
        <v>71</v>
      </c>
      <c r="J66" s="37"/>
      <c r="K66" s="34" t="s">
        <v>22</v>
      </c>
      <c r="L66" s="40">
        <f t="shared" si="0"/>
        <v>4</v>
      </c>
    </row>
    <row r="67" ht="15" customHeight="1" spans="1:12">
      <c r="A67" s="14" t="s">
        <v>163</v>
      </c>
      <c r="B67" s="9">
        <v>1</v>
      </c>
      <c r="C67" s="10" t="s">
        <v>164</v>
      </c>
      <c r="D67" s="34" t="s">
        <v>64</v>
      </c>
      <c r="E67" s="36" t="s">
        <v>73</v>
      </c>
      <c r="F67" s="34"/>
      <c r="G67" s="34"/>
      <c r="H67" s="36"/>
      <c r="I67" s="34" t="s">
        <v>54</v>
      </c>
      <c r="J67" s="37" t="s">
        <v>23</v>
      </c>
      <c r="K67" s="34"/>
      <c r="L67" s="40">
        <f t="shared" si="0"/>
        <v>4</v>
      </c>
    </row>
    <row r="68" ht="15" customHeight="1" spans="1:12">
      <c r="A68" s="21"/>
      <c r="B68" s="9">
        <v>2</v>
      </c>
      <c r="C68" s="10" t="s">
        <v>166</v>
      </c>
      <c r="D68" s="34" t="s">
        <v>31</v>
      </c>
      <c r="E68" s="36"/>
      <c r="F68" s="34" t="s">
        <v>64</v>
      </c>
      <c r="G68" s="34" t="s">
        <v>22</v>
      </c>
      <c r="H68" s="36"/>
      <c r="I68" s="34" t="s">
        <v>56</v>
      </c>
      <c r="J68" s="37"/>
      <c r="K68" s="34" t="s">
        <v>54</v>
      </c>
      <c r="L68" s="40">
        <f t="shared" si="0"/>
        <v>5</v>
      </c>
    </row>
    <row r="69" ht="15" customHeight="1" spans="1:12">
      <c r="A69" s="21"/>
      <c r="B69" s="9">
        <v>3</v>
      </c>
      <c r="C69" s="10" t="s">
        <v>167</v>
      </c>
      <c r="D69" s="34"/>
      <c r="E69" s="36"/>
      <c r="F69" s="34"/>
      <c r="G69" s="34"/>
      <c r="H69" s="36"/>
      <c r="I69" s="34"/>
      <c r="J69" s="37"/>
      <c r="K69" s="34"/>
      <c r="L69" s="40">
        <f t="shared" si="0"/>
        <v>0</v>
      </c>
    </row>
    <row r="70" ht="15" customHeight="1" spans="1:12">
      <c r="A70" s="21"/>
      <c r="B70" s="9">
        <v>4</v>
      </c>
      <c r="C70" s="10" t="s">
        <v>168</v>
      </c>
      <c r="D70" s="34" t="s">
        <v>80</v>
      </c>
      <c r="E70" s="36"/>
      <c r="F70" s="34" t="s">
        <v>104</v>
      </c>
      <c r="G70" s="34" t="s">
        <v>132</v>
      </c>
      <c r="H70" s="36"/>
      <c r="I70" s="34"/>
      <c r="J70" s="37"/>
      <c r="K70" s="34" t="s">
        <v>24</v>
      </c>
      <c r="L70" s="40">
        <f t="shared" si="0"/>
        <v>4</v>
      </c>
    </row>
    <row r="71" ht="15" customHeight="1" spans="1:12">
      <c r="A71" s="21"/>
      <c r="B71" s="9">
        <v>5</v>
      </c>
      <c r="C71" s="10" t="s">
        <v>169</v>
      </c>
      <c r="D71" s="34" t="s">
        <v>27</v>
      </c>
      <c r="E71" s="36"/>
      <c r="F71" s="34" t="s">
        <v>121</v>
      </c>
      <c r="G71" s="34" t="s">
        <v>129</v>
      </c>
      <c r="H71" s="36"/>
      <c r="I71" s="34" t="s">
        <v>90</v>
      </c>
      <c r="J71" s="37"/>
      <c r="K71" s="34"/>
      <c r="L71" s="40">
        <f t="shared" si="0"/>
        <v>4</v>
      </c>
    </row>
    <row r="72" ht="15" customHeight="1" spans="1:12">
      <c r="A72" s="21"/>
      <c r="B72" s="9">
        <v>6</v>
      </c>
      <c r="C72" s="10" t="s">
        <v>170</v>
      </c>
      <c r="D72" s="34" t="s">
        <v>59</v>
      </c>
      <c r="E72" s="36" t="s">
        <v>34</v>
      </c>
      <c r="F72" s="34"/>
      <c r="G72" s="34" t="s">
        <v>33</v>
      </c>
      <c r="H72" s="36"/>
      <c r="I72" s="34"/>
      <c r="J72" s="37" t="s">
        <v>81</v>
      </c>
      <c r="K72" s="34" t="s">
        <v>48</v>
      </c>
      <c r="L72" s="40">
        <f t="shared" ref="L72:L107" si="1">COUNTIFS(D72:K72,"&gt;""")</f>
        <v>5</v>
      </c>
    </row>
    <row r="73" ht="15" customHeight="1" spans="1:12">
      <c r="A73" s="21"/>
      <c r="B73" s="9">
        <v>7</v>
      </c>
      <c r="C73" s="10" t="s">
        <v>171</v>
      </c>
      <c r="D73" s="34"/>
      <c r="E73" s="36" t="s">
        <v>45</v>
      </c>
      <c r="F73" s="34" t="s">
        <v>64</v>
      </c>
      <c r="G73" s="34"/>
      <c r="H73" s="36"/>
      <c r="I73" s="34"/>
      <c r="J73" s="37" t="s">
        <v>38</v>
      </c>
      <c r="K73" s="34" t="s">
        <v>49</v>
      </c>
      <c r="L73" s="40">
        <f t="shared" si="1"/>
        <v>4</v>
      </c>
    </row>
    <row r="74" ht="15" customHeight="1" spans="1:12">
      <c r="A74" s="21"/>
      <c r="B74" s="9">
        <v>8</v>
      </c>
      <c r="C74" s="10" t="s">
        <v>172</v>
      </c>
      <c r="D74" s="34" t="s">
        <v>114</v>
      </c>
      <c r="E74" s="36" t="s">
        <v>100</v>
      </c>
      <c r="F74" s="34"/>
      <c r="G74" s="34" t="s">
        <v>85</v>
      </c>
      <c r="H74" s="36"/>
      <c r="I74" s="34" t="s">
        <v>28</v>
      </c>
      <c r="J74" s="37"/>
      <c r="K74" s="34" t="s">
        <v>54</v>
      </c>
      <c r="L74" s="40">
        <f t="shared" si="1"/>
        <v>5</v>
      </c>
    </row>
    <row r="75" ht="15" customHeight="1" spans="1:12">
      <c r="A75" s="21"/>
      <c r="B75" s="9">
        <v>9</v>
      </c>
      <c r="C75" s="10" t="s">
        <v>173</v>
      </c>
      <c r="D75" s="34" t="s">
        <v>78</v>
      </c>
      <c r="E75" s="36"/>
      <c r="F75" s="34" t="s">
        <v>47</v>
      </c>
      <c r="G75" s="34" t="s">
        <v>52</v>
      </c>
      <c r="H75" s="36"/>
      <c r="I75" s="34"/>
      <c r="J75" s="37" t="s">
        <v>29</v>
      </c>
      <c r="K75" s="34" t="s">
        <v>246</v>
      </c>
      <c r="L75" s="40">
        <f t="shared" si="1"/>
        <v>5</v>
      </c>
    </row>
    <row r="76" ht="15" customHeight="1" spans="1:12">
      <c r="A76" s="21"/>
      <c r="B76" s="9">
        <v>10</v>
      </c>
      <c r="C76" s="10" t="s">
        <v>174</v>
      </c>
      <c r="D76" s="34"/>
      <c r="E76" s="36" t="s">
        <v>65</v>
      </c>
      <c r="F76" s="34" t="s">
        <v>144</v>
      </c>
      <c r="G76" s="34"/>
      <c r="H76" s="36"/>
      <c r="I76" s="34" t="s">
        <v>55</v>
      </c>
      <c r="J76" s="37" t="s">
        <v>71</v>
      </c>
      <c r="K76" s="34"/>
      <c r="L76" s="40">
        <f t="shared" si="1"/>
        <v>4</v>
      </c>
    </row>
    <row r="77" ht="15" customHeight="1" spans="1:12">
      <c r="A77" s="9" t="s">
        <v>175</v>
      </c>
      <c r="B77" s="9">
        <v>1</v>
      </c>
      <c r="C77" s="10" t="s">
        <v>176</v>
      </c>
      <c r="D77" s="34" t="s">
        <v>97</v>
      </c>
      <c r="E77" s="36"/>
      <c r="F77" s="34" t="s">
        <v>38</v>
      </c>
      <c r="G77" s="34" t="s">
        <v>54</v>
      </c>
      <c r="H77" s="36"/>
      <c r="I77" s="34" t="s">
        <v>58</v>
      </c>
      <c r="J77" s="37"/>
      <c r="K77" s="34" t="s">
        <v>121</v>
      </c>
      <c r="L77" s="40">
        <f t="shared" si="1"/>
        <v>5</v>
      </c>
    </row>
    <row r="78" ht="15" customHeight="1" spans="1:12">
      <c r="A78" s="9"/>
      <c r="B78" s="9">
        <v>2</v>
      </c>
      <c r="C78" s="10" t="s">
        <v>177</v>
      </c>
      <c r="D78" s="34"/>
      <c r="E78" s="36" t="s">
        <v>80</v>
      </c>
      <c r="F78" s="34"/>
      <c r="H78" s="36"/>
      <c r="I78" s="34" t="s">
        <v>34</v>
      </c>
      <c r="J78" s="37" t="s">
        <v>37</v>
      </c>
      <c r="K78" s="34"/>
      <c r="L78" s="40">
        <f t="shared" si="1"/>
        <v>3</v>
      </c>
    </row>
    <row r="79" ht="15" customHeight="1" spans="1:12">
      <c r="A79" s="9"/>
      <c r="B79" s="9">
        <v>3</v>
      </c>
      <c r="C79" s="10" t="s">
        <v>178</v>
      </c>
      <c r="D79" s="34" t="s">
        <v>50</v>
      </c>
      <c r="E79" s="36"/>
      <c r="F79" s="34" t="s">
        <v>74</v>
      </c>
      <c r="G79" s="34" t="s">
        <v>55</v>
      </c>
      <c r="H79" s="36"/>
      <c r="I79" s="34"/>
      <c r="J79" s="37" t="s">
        <v>78</v>
      </c>
      <c r="K79" s="34" t="s">
        <v>27</v>
      </c>
      <c r="L79" s="40">
        <f t="shared" si="1"/>
        <v>5</v>
      </c>
    </row>
    <row r="80" ht="15" customHeight="1" spans="1:12">
      <c r="A80" s="9"/>
      <c r="B80" s="9">
        <v>4</v>
      </c>
      <c r="C80" s="10" t="s">
        <v>179</v>
      </c>
      <c r="D80" s="34"/>
      <c r="E80" s="36" t="s">
        <v>71</v>
      </c>
      <c r="F80" s="34"/>
      <c r="G80" s="34" t="s">
        <v>29</v>
      </c>
      <c r="H80" s="36"/>
      <c r="I80" s="34" t="s">
        <v>44</v>
      </c>
      <c r="J80" s="37"/>
      <c r="K80" s="34"/>
      <c r="L80" s="40">
        <f t="shared" si="1"/>
        <v>3</v>
      </c>
    </row>
    <row r="81" ht="15" customHeight="1" spans="1:12">
      <c r="A81" s="9"/>
      <c r="B81" s="9">
        <v>5</v>
      </c>
      <c r="C81" s="10" t="s">
        <v>180</v>
      </c>
      <c r="D81" s="34"/>
      <c r="E81" s="36" t="s">
        <v>53</v>
      </c>
      <c r="F81" s="34" t="s">
        <v>73</v>
      </c>
      <c r="G81" s="34"/>
      <c r="H81" s="36"/>
      <c r="I81" s="34" t="s">
        <v>45</v>
      </c>
      <c r="J81" s="37" t="s">
        <v>59</v>
      </c>
      <c r="K81" s="34"/>
      <c r="L81" s="40">
        <f t="shared" si="1"/>
        <v>4</v>
      </c>
    </row>
    <row r="82" ht="15" customHeight="1" spans="1:12">
      <c r="A82" s="9"/>
      <c r="B82" s="9">
        <v>6</v>
      </c>
      <c r="C82" s="10" t="s">
        <v>181</v>
      </c>
      <c r="D82" s="42" t="s">
        <v>22</v>
      </c>
      <c r="E82" s="36"/>
      <c r="F82" s="34" t="s">
        <v>52</v>
      </c>
      <c r="G82" s="34" t="s">
        <v>144</v>
      </c>
      <c r="H82" s="36"/>
      <c r="I82" s="34"/>
      <c r="J82" s="37" t="s">
        <v>85</v>
      </c>
      <c r="K82" s="34"/>
      <c r="L82" s="40">
        <f t="shared" si="1"/>
        <v>4</v>
      </c>
    </row>
    <row r="83" ht="15" customHeight="1" spans="1:12">
      <c r="A83" s="9"/>
      <c r="B83" s="9">
        <v>7</v>
      </c>
      <c r="C83" s="10" t="s">
        <v>182</v>
      </c>
      <c r="D83" s="34" t="s">
        <v>129</v>
      </c>
      <c r="E83" s="36"/>
      <c r="F83" s="34" t="s">
        <v>89</v>
      </c>
      <c r="G83" s="34" t="s">
        <v>81</v>
      </c>
      <c r="H83" s="36"/>
      <c r="I83" s="34" t="s">
        <v>31</v>
      </c>
      <c r="J83" s="37"/>
      <c r="K83" s="34" t="s">
        <v>60</v>
      </c>
      <c r="L83" s="40">
        <f t="shared" si="1"/>
        <v>5</v>
      </c>
    </row>
    <row r="84" ht="15" customHeight="1" spans="1:12">
      <c r="A84" s="9"/>
      <c r="B84" s="9">
        <v>8</v>
      </c>
      <c r="C84" s="10" t="s">
        <v>183</v>
      </c>
      <c r="D84" s="34"/>
      <c r="E84" s="36"/>
      <c r="F84" s="34" t="s">
        <v>107</v>
      </c>
      <c r="G84" s="34" t="s">
        <v>84</v>
      </c>
      <c r="H84" s="36"/>
      <c r="I84" s="34"/>
      <c r="J84" s="37" t="s">
        <v>90</v>
      </c>
      <c r="K84" s="34" t="s">
        <v>114</v>
      </c>
      <c r="L84" s="40">
        <f t="shared" si="1"/>
        <v>4</v>
      </c>
    </row>
    <row r="85" ht="15" customHeight="1" spans="1:12">
      <c r="A85" s="9"/>
      <c r="B85" s="9">
        <v>9</v>
      </c>
      <c r="C85" s="10" t="s">
        <v>184</v>
      </c>
      <c r="D85" s="34" t="s">
        <v>111</v>
      </c>
      <c r="E85" s="36" t="s">
        <v>75</v>
      </c>
      <c r="F85" s="34"/>
      <c r="G85" s="34"/>
      <c r="H85" s="36"/>
      <c r="I85" s="34"/>
      <c r="J85" s="37" t="s">
        <v>24</v>
      </c>
      <c r="K85" s="34" t="s">
        <v>36</v>
      </c>
      <c r="L85" s="40">
        <f t="shared" si="1"/>
        <v>4</v>
      </c>
    </row>
    <row r="86" ht="15" customHeight="1" spans="1:12">
      <c r="A86" s="9"/>
      <c r="B86" s="9">
        <v>10</v>
      </c>
      <c r="C86" s="10" t="s">
        <v>185</v>
      </c>
      <c r="D86" s="34" t="s">
        <v>50</v>
      </c>
      <c r="E86" s="36" t="s">
        <v>80</v>
      </c>
      <c r="F86" s="34" t="s">
        <v>52</v>
      </c>
      <c r="G86" s="34"/>
      <c r="H86" s="36"/>
      <c r="I86" s="34"/>
      <c r="J86" s="37"/>
      <c r="K86" s="34" t="s">
        <v>27</v>
      </c>
      <c r="L86" s="40">
        <f t="shared" si="1"/>
        <v>4</v>
      </c>
    </row>
    <row r="87" ht="15" customHeight="1" spans="1:12">
      <c r="A87" s="9" t="s">
        <v>186</v>
      </c>
      <c r="B87" s="9">
        <v>1</v>
      </c>
      <c r="C87" s="10" t="s">
        <v>187</v>
      </c>
      <c r="D87" s="34"/>
      <c r="E87" s="36" t="s">
        <v>40</v>
      </c>
      <c r="F87" s="34" t="s">
        <v>22</v>
      </c>
      <c r="G87" s="34"/>
      <c r="H87" s="36"/>
      <c r="I87" s="34" t="s">
        <v>26</v>
      </c>
      <c r="J87" s="37"/>
      <c r="K87" s="34" t="s">
        <v>23</v>
      </c>
      <c r="L87" s="40">
        <f t="shared" si="1"/>
        <v>4</v>
      </c>
    </row>
    <row r="88" ht="15" customHeight="1" spans="1:12">
      <c r="A88" s="9"/>
      <c r="B88" s="9">
        <v>2</v>
      </c>
      <c r="C88" s="10" t="s">
        <v>188</v>
      </c>
      <c r="D88" s="34" t="s">
        <v>53</v>
      </c>
      <c r="E88" s="36"/>
      <c r="F88" s="34" t="s">
        <v>37</v>
      </c>
      <c r="G88" s="34" t="s">
        <v>48</v>
      </c>
      <c r="H88" s="36"/>
      <c r="I88" s="34"/>
      <c r="J88" s="37" t="s">
        <v>64</v>
      </c>
      <c r="K88" s="34"/>
      <c r="L88" s="40">
        <f t="shared" si="1"/>
        <v>4</v>
      </c>
    </row>
    <row r="89" ht="15" customHeight="1" spans="1:12">
      <c r="A89" s="9"/>
      <c r="B89" s="9">
        <v>3</v>
      </c>
      <c r="C89" s="10" t="s">
        <v>189</v>
      </c>
      <c r="D89" s="34"/>
      <c r="E89" s="36"/>
      <c r="F89" s="34" t="s">
        <v>44</v>
      </c>
      <c r="G89" s="34" t="s">
        <v>36</v>
      </c>
      <c r="H89" s="36"/>
      <c r="I89" s="34"/>
      <c r="J89" s="37" t="s">
        <v>54</v>
      </c>
      <c r="K89" s="34" t="s">
        <v>65</v>
      </c>
      <c r="L89" s="40">
        <f t="shared" si="1"/>
        <v>4</v>
      </c>
    </row>
    <row r="90" ht="15" customHeight="1" spans="1:12">
      <c r="A90" s="9"/>
      <c r="B90" s="9">
        <v>4</v>
      </c>
      <c r="C90" s="10" t="s">
        <v>190</v>
      </c>
      <c r="D90" s="34" t="s">
        <v>69</v>
      </c>
      <c r="E90" s="36"/>
      <c r="F90" s="34" t="s">
        <v>50</v>
      </c>
      <c r="G90" s="34" t="s">
        <v>73</v>
      </c>
      <c r="H90" s="36"/>
      <c r="I90" s="34"/>
      <c r="J90" s="37" t="s">
        <v>66</v>
      </c>
      <c r="K90" s="34" t="s">
        <v>38</v>
      </c>
      <c r="L90" s="40">
        <f t="shared" si="1"/>
        <v>5</v>
      </c>
    </row>
    <row r="91" ht="15" customHeight="1" spans="1:12">
      <c r="A91" s="13" t="s">
        <v>191</v>
      </c>
      <c r="B91" s="9">
        <v>1</v>
      </c>
      <c r="C91" s="10" t="s">
        <v>192</v>
      </c>
      <c r="D91" s="34"/>
      <c r="E91" s="36"/>
      <c r="F91" s="34" t="s">
        <v>32</v>
      </c>
      <c r="G91" s="34"/>
      <c r="H91" s="36"/>
      <c r="I91" s="34" t="s">
        <v>60</v>
      </c>
      <c r="J91" s="37" t="s">
        <v>80</v>
      </c>
      <c r="K91" s="34"/>
      <c r="L91" s="40">
        <f t="shared" si="1"/>
        <v>3</v>
      </c>
    </row>
    <row r="92" ht="15" customHeight="1" spans="1:12">
      <c r="A92" s="14"/>
      <c r="B92" s="9">
        <v>2</v>
      </c>
      <c r="C92" s="10" t="s">
        <v>193</v>
      </c>
      <c r="D92" s="34"/>
      <c r="E92" s="36" t="s">
        <v>247</v>
      </c>
      <c r="F92" s="34"/>
      <c r="G92" s="34" t="s">
        <v>237</v>
      </c>
      <c r="H92" s="36"/>
      <c r="I92" s="34" t="s">
        <v>248</v>
      </c>
      <c r="J92" s="37"/>
      <c r="K92" s="34" t="s">
        <v>249</v>
      </c>
      <c r="L92" s="40">
        <f t="shared" si="1"/>
        <v>4</v>
      </c>
    </row>
    <row r="93" ht="15" customHeight="1" spans="1:12">
      <c r="A93" s="14"/>
      <c r="B93" s="9">
        <v>3</v>
      </c>
      <c r="C93" s="10" t="s">
        <v>196</v>
      </c>
      <c r="D93" s="34"/>
      <c r="E93" s="36" t="s">
        <v>227</v>
      </c>
      <c r="F93" s="34"/>
      <c r="G93" s="34" t="s">
        <v>226</v>
      </c>
      <c r="H93" s="36"/>
      <c r="I93" s="34"/>
      <c r="J93" s="37" t="s">
        <v>75</v>
      </c>
      <c r="K93" s="34" t="s">
        <v>250</v>
      </c>
      <c r="L93" s="40">
        <f t="shared" si="1"/>
        <v>4</v>
      </c>
    </row>
    <row r="94" ht="15" customHeight="1" spans="1:12">
      <c r="A94" s="14"/>
      <c r="B94" s="9">
        <v>4</v>
      </c>
      <c r="C94" s="10" t="s">
        <v>200</v>
      </c>
      <c r="D94" s="34" t="s">
        <v>230</v>
      </c>
      <c r="E94" s="36"/>
      <c r="F94" s="34" t="s">
        <v>29</v>
      </c>
      <c r="G94" s="34" t="s">
        <v>251</v>
      </c>
      <c r="H94" s="36"/>
      <c r="I94" s="34"/>
      <c r="J94" s="37" t="s">
        <v>50</v>
      </c>
      <c r="K94" s="34"/>
      <c r="L94" s="40">
        <f t="shared" si="1"/>
        <v>4</v>
      </c>
    </row>
    <row r="95" ht="15" customHeight="1" spans="1:12">
      <c r="A95" s="14"/>
      <c r="B95" s="9">
        <v>5</v>
      </c>
      <c r="C95" s="10" t="s">
        <v>201</v>
      </c>
      <c r="D95" s="34"/>
      <c r="E95" s="34" t="s">
        <v>37</v>
      </c>
      <c r="F95" s="34"/>
      <c r="G95" s="34" t="s">
        <v>121</v>
      </c>
      <c r="H95" s="36"/>
      <c r="I95" s="34"/>
      <c r="J95" s="37" t="s">
        <v>252</v>
      </c>
      <c r="K95" s="34" t="s">
        <v>41</v>
      </c>
      <c r="L95" s="40">
        <f t="shared" si="1"/>
        <v>4</v>
      </c>
    </row>
    <row r="96" ht="15" customHeight="1" spans="1:12">
      <c r="A96" s="22" t="s">
        <v>202</v>
      </c>
      <c r="B96" s="9">
        <v>1</v>
      </c>
      <c r="C96" s="10" t="s">
        <v>203</v>
      </c>
      <c r="D96" s="34"/>
      <c r="E96" s="36" t="s">
        <v>41</v>
      </c>
      <c r="F96" s="34" t="s">
        <v>56</v>
      </c>
      <c r="G96" s="34"/>
      <c r="H96" s="36"/>
      <c r="I96" s="34" t="s">
        <v>253</v>
      </c>
      <c r="J96" s="37"/>
      <c r="K96" s="34" t="s">
        <v>76</v>
      </c>
      <c r="L96" s="40">
        <f t="shared" si="1"/>
        <v>4</v>
      </c>
    </row>
    <row r="97" ht="15" customHeight="1" spans="1:12">
      <c r="A97" s="23"/>
      <c r="B97" s="9">
        <v>2</v>
      </c>
      <c r="C97" s="10" t="s">
        <v>204</v>
      </c>
      <c r="D97" s="34"/>
      <c r="E97" s="36" t="s">
        <v>89</v>
      </c>
      <c r="F97" s="34"/>
      <c r="G97" s="34" t="s">
        <v>42</v>
      </c>
      <c r="H97" s="36"/>
      <c r="I97" s="34" t="s">
        <v>48</v>
      </c>
      <c r="J97" s="37"/>
      <c r="K97" s="34" t="s">
        <v>86</v>
      </c>
      <c r="L97" s="40">
        <f t="shared" si="1"/>
        <v>4</v>
      </c>
    </row>
    <row r="98" ht="15" customHeight="1" spans="1:12">
      <c r="A98" s="23"/>
      <c r="B98" s="9">
        <v>3</v>
      </c>
      <c r="C98" s="10" t="s">
        <v>205</v>
      </c>
      <c r="D98" s="34"/>
      <c r="E98" s="36"/>
      <c r="F98" s="34" t="s">
        <v>23</v>
      </c>
      <c r="G98" s="34" t="s">
        <v>65</v>
      </c>
      <c r="H98" s="36"/>
      <c r="I98" s="34"/>
      <c r="J98" s="37" t="s">
        <v>49</v>
      </c>
      <c r="K98" s="34" t="s">
        <v>91</v>
      </c>
      <c r="L98" s="40">
        <f t="shared" si="1"/>
        <v>4</v>
      </c>
    </row>
    <row r="99" ht="15" customHeight="1" spans="1:12">
      <c r="A99" s="23"/>
      <c r="B99" s="9">
        <v>4</v>
      </c>
      <c r="C99" s="10" t="s">
        <v>206</v>
      </c>
      <c r="D99" s="34"/>
      <c r="E99" s="36" t="s">
        <v>60</v>
      </c>
      <c r="F99" s="34" t="s">
        <v>28</v>
      </c>
      <c r="G99" s="34"/>
      <c r="H99" s="36"/>
      <c r="I99" s="34" t="s">
        <v>254</v>
      </c>
      <c r="J99" s="37"/>
      <c r="K99" s="34" t="s">
        <v>75</v>
      </c>
      <c r="L99" s="40">
        <f t="shared" si="1"/>
        <v>4</v>
      </c>
    </row>
    <row r="100" ht="15" customHeight="1" spans="1:12">
      <c r="A100" s="23"/>
      <c r="B100" s="9">
        <v>5</v>
      </c>
      <c r="C100" s="10" t="s">
        <v>207</v>
      </c>
      <c r="D100" s="34"/>
      <c r="E100" s="36" t="s">
        <v>247</v>
      </c>
      <c r="F100" s="34"/>
      <c r="G100" s="34" t="s">
        <v>237</v>
      </c>
      <c r="H100" s="36"/>
      <c r="I100" s="34" t="s">
        <v>255</v>
      </c>
      <c r="J100" s="37" t="s">
        <v>75</v>
      </c>
      <c r="K100" s="34"/>
      <c r="L100" s="40">
        <f t="shared" si="1"/>
        <v>4</v>
      </c>
    </row>
    <row r="101" ht="15" customHeight="1" spans="1:12">
      <c r="A101" s="24"/>
      <c r="B101" s="9">
        <v>6</v>
      </c>
      <c r="C101" s="10" t="s">
        <v>209</v>
      </c>
      <c r="D101" s="34"/>
      <c r="E101" s="36"/>
      <c r="F101" s="34" t="s">
        <v>40</v>
      </c>
      <c r="G101" s="34" t="s">
        <v>56</v>
      </c>
      <c r="H101" s="36"/>
      <c r="I101" s="34"/>
      <c r="J101" s="37" t="s">
        <v>249</v>
      </c>
      <c r="K101" s="34"/>
      <c r="L101" s="40">
        <f t="shared" si="1"/>
        <v>3</v>
      </c>
    </row>
    <row r="102" ht="15" customHeight="1" spans="1:12">
      <c r="A102" s="9" t="s">
        <v>210</v>
      </c>
      <c r="B102" s="9">
        <v>1</v>
      </c>
      <c r="C102" s="10" t="s">
        <v>211</v>
      </c>
      <c r="D102" s="34"/>
      <c r="E102" s="36"/>
      <c r="F102" s="34" t="s">
        <v>114</v>
      </c>
      <c r="G102" s="34"/>
      <c r="H102" s="36"/>
      <c r="I102" s="34" t="s">
        <v>115</v>
      </c>
      <c r="J102" s="37"/>
      <c r="K102" s="34" t="s">
        <v>112</v>
      </c>
      <c r="L102" s="40">
        <f t="shared" si="1"/>
        <v>3</v>
      </c>
    </row>
    <row r="103" ht="15" customHeight="1" spans="1:12">
      <c r="A103" s="9"/>
      <c r="B103" s="9">
        <v>2</v>
      </c>
      <c r="C103" s="10" t="s">
        <v>212</v>
      </c>
      <c r="D103" s="34"/>
      <c r="E103" s="36"/>
      <c r="F103" s="34" t="s">
        <v>41</v>
      </c>
      <c r="G103" s="34"/>
      <c r="H103" s="36"/>
      <c r="I103" s="34" t="s">
        <v>38</v>
      </c>
      <c r="J103" s="37" t="s">
        <v>91</v>
      </c>
      <c r="K103" s="34" t="s">
        <v>140</v>
      </c>
      <c r="L103" s="40">
        <f t="shared" si="1"/>
        <v>4</v>
      </c>
    </row>
    <row r="104" ht="15" customHeight="1" spans="1:12">
      <c r="A104" s="9"/>
      <c r="B104" s="9">
        <v>3</v>
      </c>
      <c r="C104" s="10" t="s">
        <v>213</v>
      </c>
      <c r="D104" s="34"/>
      <c r="E104" s="36" t="s">
        <v>36</v>
      </c>
      <c r="F104" s="34" t="s">
        <v>24</v>
      </c>
      <c r="G104" s="34"/>
      <c r="H104" s="36"/>
      <c r="I104" s="34" t="s">
        <v>87</v>
      </c>
      <c r="J104" s="37"/>
      <c r="K104" s="34" t="s">
        <v>256</v>
      </c>
      <c r="L104" s="40">
        <f t="shared" si="1"/>
        <v>4</v>
      </c>
    </row>
    <row r="105" ht="15" customHeight="1" spans="1:12">
      <c r="A105" s="9"/>
      <c r="B105" s="9">
        <v>4</v>
      </c>
      <c r="C105" s="10" t="s">
        <v>214</v>
      </c>
      <c r="D105" s="34"/>
      <c r="E105" s="36" t="s">
        <v>29</v>
      </c>
      <c r="F105" s="34" t="s">
        <v>53</v>
      </c>
      <c r="G105" s="34"/>
      <c r="H105" s="36"/>
      <c r="I105" s="34" t="s">
        <v>82</v>
      </c>
      <c r="J105" s="37"/>
      <c r="K105" s="34" t="s">
        <v>115</v>
      </c>
      <c r="L105" s="40">
        <f t="shared" si="1"/>
        <v>4</v>
      </c>
    </row>
    <row r="106" ht="15" customHeight="1" spans="1:12">
      <c r="A106" s="9"/>
      <c r="B106" s="9">
        <v>5</v>
      </c>
      <c r="C106" s="10" t="s">
        <v>215</v>
      </c>
      <c r="D106" s="34"/>
      <c r="E106" s="36"/>
      <c r="F106" s="34" t="s">
        <v>257</v>
      </c>
      <c r="G106" s="34" t="s">
        <v>32</v>
      </c>
      <c r="H106" s="36"/>
      <c r="I106" s="34" t="s">
        <v>258</v>
      </c>
      <c r="J106" s="37" t="s">
        <v>70</v>
      </c>
      <c r="K106" s="34"/>
      <c r="L106" s="40">
        <f t="shared" si="1"/>
        <v>4</v>
      </c>
    </row>
    <row r="107" ht="15" customHeight="1" spans="1:12">
      <c r="A107" s="9" t="s">
        <v>216</v>
      </c>
      <c r="B107" s="9">
        <v>1</v>
      </c>
      <c r="C107" s="10" t="s">
        <v>217</v>
      </c>
      <c r="D107" s="34" t="s">
        <v>36</v>
      </c>
      <c r="E107" s="36" t="s">
        <v>31</v>
      </c>
      <c r="F107" s="34"/>
      <c r="G107" s="34" t="s">
        <v>50</v>
      </c>
      <c r="H107" s="36"/>
      <c r="I107" s="34" t="s">
        <v>42</v>
      </c>
      <c r="J107" s="37" t="s">
        <v>259</v>
      </c>
      <c r="K107" s="34"/>
      <c r="L107" s="40">
        <f t="shared" si="1"/>
        <v>5</v>
      </c>
    </row>
    <row r="108" ht="15" customHeight="1" spans="1:13">
      <c r="A108" s="40"/>
      <c r="B108" s="40"/>
      <c r="C108" s="40"/>
      <c r="D108" s="40">
        <f>COUNTIFS(D5:D107,"&gt;""")</f>
        <v>59</v>
      </c>
      <c r="E108" s="40">
        <f>COUNTIFS(E5:E107,"&gt;""")</f>
        <v>59</v>
      </c>
      <c r="F108" s="40">
        <f>COUNTIFS(F5:F107,"&gt;""")</f>
        <v>60</v>
      </c>
      <c r="G108" s="40">
        <f>COUNTIFS(G5:G107,"&gt;""")</f>
        <v>57</v>
      </c>
      <c r="H108" s="36"/>
      <c r="I108" s="40">
        <f>COUNTIFS(I5:I107,"&gt;""")</f>
        <v>58</v>
      </c>
      <c r="J108" s="40">
        <f>COUNTIFS(J5:J107,"&gt;""")</f>
        <v>59</v>
      </c>
      <c r="K108" s="40">
        <f>COUNTIFS(K5:K107,"&gt;""")</f>
        <v>52</v>
      </c>
      <c r="L108" s="40">
        <f>COUNTIFS(L5:L106,"&gt;""")</f>
        <v>0</v>
      </c>
      <c r="M108" s="48"/>
    </row>
    <row r="109" ht="28.5" customHeight="1" spans="1:12">
      <c r="A109" s="44"/>
      <c r="B109" s="45"/>
      <c r="C109" s="46" t="s">
        <v>243</v>
      </c>
      <c r="D109" s="47"/>
      <c r="E109" s="47"/>
      <c r="F109" s="47"/>
      <c r="G109" s="47"/>
      <c r="H109" s="47"/>
      <c r="I109" s="47"/>
      <c r="J109" s="47"/>
      <c r="K109" s="49"/>
      <c r="L109" s="45"/>
    </row>
    <row r="110" spans="3:3">
      <c r="C110"/>
    </row>
    <row r="116" spans="5:5">
      <c r="E116" s="1"/>
    </row>
  </sheetData>
  <mergeCells count="16">
    <mergeCell ref="A1:L1"/>
    <mergeCell ref="A2:L2"/>
    <mergeCell ref="C109:K109"/>
    <mergeCell ref="A5:A20"/>
    <mergeCell ref="A21:A36"/>
    <mergeCell ref="A37:A52"/>
    <mergeCell ref="A54:A56"/>
    <mergeCell ref="A57:A62"/>
    <mergeCell ref="A63:A66"/>
    <mergeCell ref="A67:A76"/>
    <mergeCell ref="A77:A86"/>
    <mergeCell ref="A87:A90"/>
    <mergeCell ref="A91:A95"/>
    <mergeCell ref="A96:A101"/>
    <mergeCell ref="A102:A106"/>
    <mergeCell ref="L3:L4"/>
  </mergeCells>
  <conditionalFormatting sqref="C101">
    <cfRule type="expression" dxfId="0" priority="4">
      <formula>MOD(ROW(),2)=0</formula>
    </cfRule>
  </conditionalFormatting>
  <conditionalFormatting sqref="C19:C20">
    <cfRule type="expression" dxfId="0" priority="1">
      <formula>MOD(ROW(),2)=0</formula>
    </cfRule>
  </conditionalFormatting>
  <conditionalFormatting sqref="C35:C36">
    <cfRule type="expression" dxfId="0" priority="2">
      <formula>MOD(ROW(),2)=0</formula>
    </cfRule>
  </conditionalFormatting>
  <conditionalFormatting sqref="C84:C85">
    <cfRule type="expression" dxfId="0" priority="3">
      <formula>MOD(ROW(),2)=0</formula>
    </cfRule>
  </conditionalFormatting>
  <conditionalFormatting sqref="D5:D107">
    <cfRule type="duplicateValues" dxfId="1" priority="5"/>
  </conditionalFormatting>
  <conditionalFormatting sqref="E5:E107">
    <cfRule type="duplicateValues" dxfId="1" priority="6"/>
  </conditionalFormatting>
  <conditionalFormatting sqref="F5:F107">
    <cfRule type="duplicateValues" dxfId="1" priority="7"/>
  </conditionalFormatting>
  <conditionalFormatting sqref="G5:G107">
    <cfRule type="duplicateValues" dxfId="1" priority="8"/>
  </conditionalFormatting>
  <conditionalFormatting sqref="I5:I107">
    <cfRule type="duplicateValues" dxfId="1" priority="9"/>
  </conditionalFormatting>
  <conditionalFormatting sqref="J5:J107">
    <cfRule type="duplicateValues" dxfId="1" priority="11"/>
  </conditionalFormatting>
  <conditionalFormatting sqref="K5:K107">
    <cfRule type="duplicateValues" dxfId="1" priority="10"/>
  </conditionalFormatting>
  <conditionalFormatting sqref="B5:L18 D19:L20 B21:L34 D35:L36 B37:L83 D84:L85 B86:L100 D101:L101 B102:L108 B19:B20 B35:B36 B84:B85 B101">
    <cfRule type="expression" dxfId="3" priority="12">
      <formula>MOD(ROW(),2)=1</formula>
    </cfRule>
  </conditionalFormatting>
  <pageMargins left="0.2" right="0.2" top="0.25" bottom="0.2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6"/>
  <sheetViews>
    <sheetView tabSelected="1" zoomScale="144" zoomScaleNormal="144" workbookViewId="0">
      <pane xSplit="3" ySplit="4" topLeftCell="D47" activePane="bottomRight" state="frozen"/>
      <selection/>
      <selection pane="topRight"/>
      <selection pane="bottomLeft"/>
      <selection pane="bottomRight" activeCell="N50" sqref="N50"/>
    </sheetView>
  </sheetViews>
  <sheetFormatPr defaultColWidth="9" defaultRowHeight="14.5"/>
  <cols>
    <col min="1" max="1" width="8.57272727272727" customWidth="1"/>
    <col min="2" max="2" width="3.42727272727273" customWidth="1"/>
    <col min="3" max="3" width="7.85454545454545" style="1" customWidth="1"/>
    <col min="4" max="4" width="9.85454545454546" customWidth="1"/>
    <col min="5" max="6" width="10" customWidth="1"/>
    <col min="7" max="7" width="10.7090909090909" style="26" customWidth="1"/>
    <col min="8" max="8" width="2.28181818181818" style="26" customWidth="1"/>
    <col min="9" max="9" width="10.4272727272727" style="26" customWidth="1"/>
    <col min="10" max="10" width="10.4272727272727" customWidth="1"/>
    <col min="11" max="11" width="10.5727272727273" customWidth="1"/>
    <col min="12" max="12" width="6" customWidth="1"/>
  </cols>
  <sheetData>
    <row r="1" ht="21" customHeight="1" spans="1:12">
      <c r="A1" s="27" t="s">
        <v>260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ht="20.1" customHeight="1" spans="1:12">
      <c r="A2" s="27" t="s">
        <v>261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>
      <c r="A3" s="28" t="s">
        <v>2</v>
      </c>
      <c r="B3" s="28" t="s">
        <v>3</v>
      </c>
      <c r="C3" s="29" t="s">
        <v>4</v>
      </c>
      <c r="D3" s="30" t="s">
        <v>5</v>
      </c>
      <c r="E3" s="30" t="s">
        <v>6</v>
      </c>
      <c r="F3" s="30" t="s">
        <v>7</v>
      </c>
      <c r="G3" s="30" t="s">
        <v>8</v>
      </c>
      <c r="H3" s="30"/>
      <c r="I3" s="30" t="s">
        <v>9</v>
      </c>
      <c r="J3" s="30" t="s">
        <v>10</v>
      </c>
      <c r="K3" s="30" t="s">
        <v>11</v>
      </c>
      <c r="L3" s="38" t="s">
        <v>12</v>
      </c>
    </row>
    <row r="4" s="25" customFormat="1" ht="13" spans="1:12">
      <c r="A4" s="6" t="s">
        <v>2</v>
      </c>
      <c r="B4" s="6" t="s">
        <v>3</v>
      </c>
      <c r="C4" s="7" t="s">
        <v>4</v>
      </c>
      <c r="D4" s="31" t="s">
        <v>13</v>
      </c>
      <c r="E4" s="31" t="s">
        <v>14</v>
      </c>
      <c r="F4" s="31" t="s">
        <v>15</v>
      </c>
      <c r="G4" s="31" t="s">
        <v>16</v>
      </c>
      <c r="H4" s="32"/>
      <c r="I4" s="39" t="s">
        <v>17</v>
      </c>
      <c r="J4" s="39" t="s">
        <v>18</v>
      </c>
      <c r="K4" s="39" t="s">
        <v>19</v>
      </c>
      <c r="L4" s="38"/>
    </row>
    <row r="5" ht="15" customHeight="1" spans="1:12">
      <c r="A5" s="9" t="s">
        <v>20</v>
      </c>
      <c r="B5" s="9">
        <v>1</v>
      </c>
      <c r="C5" s="10" t="s">
        <v>21</v>
      </c>
      <c r="D5" s="33"/>
      <c r="E5" t="s">
        <v>22</v>
      </c>
      <c r="F5" s="34"/>
      <c r="G5" s="35" t="s">
        <v>23</v>
      </c>
      <c r="H5" s="36"/>
      <c r="I5" s="34"/>
      <c r="J5" s="34" t="s">
        <v>24</v>
      </c>
      <c r="K5" s="37"/>
      <c r="L5" s="40">
        <f>COUNTIFS(D5:K5,"&gt;""")</f>
        <v>3</v>
      </c>
    </row>
    <row r="6" ht="15" customHeight="1" spans="1:12">
      <c r="A6" s="9"/>
      <c r="B6" s="9">
        <v>2</v>
      </c>
      <c r="C6" s="10" t="s">
        <v>25</v>
      </c>
      <c r="D6" s="34" t="s">
        <v>24</v>
      </c>
      <c r="E6" s="36"/>
      <c r="F6" s="34" t="s">
        <v>53</v>
      </c>
      <c r="G6" s="34"/>
      <c r="H6" s="36"/>
      <c r="I6" s="34" t="s">
        <v>29</v>
      </c>
      <c r="J6" s="34" t="s">
        <v>27</v>
      </c>
      <c r="K6" s="34"/>
      <c r="L6" s="40">
        <f t="shared" ref="L6:L69" si="0">COUNTIFS(D6:K6,"&gt;""")</f>
        <v>4</v>
      </c>
    </row>
    <row r="7" ht="15" customHeight="1" spans="1:12">
      <c r="A7" s="9"/>
      <c r="B7" s="9">
        <v>3</v>
      </c>
      <c r="C7" s="10" t="s">
        <v>30</v>
      </c>
      <c r="D7" s="34" t="s">
        <v>34</v>
      </c>
      <c r="E7" s="36" t="s">
        <v>50</v>
      </c>
      <c r="F7" s="34"/>
      <c r="G7" s="34" t="s">
        <v>56</v>
      </c>
      <c r="H7" s="36"/>
      <c r="I7" s="34"/>
      <c r="J7" s="34" t="s">
        <v>38</v>
      </c>
      <c r="K7" s="34"/>
      <c r="L7" s="40">
        <f t="shared" si="0"/>
        <v>4</v>
      </c>
    </row>
    <row r="8" ht="15" customHeight="1" spans="1:12">
      <c r="A8" s="9"/>
      <c r="B8" s="9">
        <v>4</v>
      </c>
      <c r="C8" s="10" t="s">
        <v>35</v>
      </c>
      <c r="D8" s="34" t="s">
        <v>33</v>
      </c>
      <c r="E8" s="36" t="s">
        <v>34</v>
      </c>
      <c r="F8" s="34"/>
      <c r="G8" s="34"/>
      <c r="H8" s="36"/>
      <c r="I8" s="34"/>
      <c r="J8" s="34" t="s">
        <v>37</v>
      </c>
      <c r="K8" s="36" t="s">
        <v>31</v>
      </c>
      <c r="L8" s="40">
        <f t="shared" si="0"/>
        <v>4</v>
      </c>
    </row>
    <row r="9" ht="15" customHeight="1" spans="1:12">
      <c r="A9" s="9"/>
      <c r="B9" s="9">
        <v>5</v>
      </c>
      <c r="C9" s="10" t="s">
        <v>39</v>
      </c>
      <c r="D9" s="34" t="s">
        <v>121</v>
      </c>
      <c r="E9" s="36"/>
      <c r="F9" s="34" t="s">
        <v>40</v>
      </c>
      <c r="G9" s="34"/>
      <c r="H9" s="36"/>
      <c r="I9" s="34" t="s">
        <v>23</v>
      </c>
      <c r="J9" s="34"/>
      <c r="K9" s="34" t="s">
        <v>69</v>
      </c>
      <c r="L9" s="40">
        <f t="shared" si="0"/>
        <v>4</v>
      </c>
    </row>
    <row r="10" ht="15" customHeight="1" spans="1:12">
      <c r="A10" s="9"/>
      <c r="B10" s="9">
        <v>6</v>
      </c>
      <c r="C10" s="10" t="s">
        <v>43</v>
      </c>
      <c r="D10" s="34" t="s">
        <v>90</v>
      </c>
      <c r="E10" s="36"/>
      <c r="F10" s="34"/>
      <c r="G10" s="34"/>
      <c r="H10" s="36"/>
      <c r="I10" s="34" t="s">
        <v>45</v>
      </c>
      <c r="J10" s="34"/>
      <c r="K10" s="41" t="s">
        <v>44</v>
      </c>
      <c r="L10" s="40">
        <f t="shared" si="0"/>
        <v>3</v>
      </c>
    </row>
    <row r="11" ht="15" customHeight="1" spans="1:12">
      <c r="A11" s="9"/>
      <c r="B11" s="9">
        <v>7</v>
      </c>
      <c r="C11" s="10" t="s">
        <v>46</v>
      </c>
      <c r="D11" s="34" t="s">
        <v>58</v>
      </c>
      <c r="E11" s="36"/>
      <c r="F11" s="34" t="s">
        <v>112</v>
      </c>
      <c r="G11" s="36"/>
      <c r="H11" s="36"/>
      <c r="I11" s="34" t="s">
        <v>49</v>
      </c>
      <c r="J11" s="34"/>
      <c r="K11" s="34" t="s">
        <v>48</v>
      </c>
      <c r="L11" s="40">
        <f t="shared" si="0"/>
        <v>4</v>
      </c>
    </row>
    <row r="12" ht="15" customHeight="1" spans="1:12">
      <c r="A12" s="9"/>
      <c r="B12" s="9">
        <v>8</v>
      </c>
      <c r="C12" s="10" t="s">
        <v>51</v>
      </c>
      <c r="D12" s="34" t="s">
        <v>53</v>
      </c>
      <c r="E12" s="36"/>
      <c r="F12" s="34" t="s">
        <v>54</v>
      </c>
      <c r="G12" s="34"/>
      <c r="H12" s="36"/>
      <c r="I12" s="34" t="s">
        <v>75</v>
      </c>
      <c r="J12" s="34"/>
      <c r="K12" s="34" t="s">
        <v>104</v>
      </c>
      <c r="L12" s="40">
        <f t="shared" si="0"/>
        <v>4</v>
      </c>
    </row>
    <row r="13" ht="15" customHeight="1" spans="1:12">
      <c r="A13" s="9"/>
      <c r="B13" s="9">
        <v>9</v>
      </c>
      <c r="C13" s="10" t="s">
        <v>57</v>
      </c>
      <c r="D13" s="34" t="s">
        <v>60</v>
      </c>
      <c r="E13" s="36" t="s">
        <v>62</v>
      </c>
      <c r="F13" s="34"/>
      <c r="G13" s="34" t="s">
        <v>28</v>
      </c>
      <c r="H13" s="36"/>
      <c r="I13" s="34"/>
      <c r="J13" s="34"/>
      <c r="K13" s="34" t="s">
        <v>100</v>
      </c>
      <c r="L13" s="40">
        <f t="shared" si="0"/>
        <v>4</v>
      </c>
    </row>
    <row r="14" ht="15" customHeight="1" spans="1:12">
      <c r="A14" s="9"/>
      <c r="B14" s="9">
        <v>10</v>
      </c>
      <c r="C14" s="10" t="s">
        <v>63</v>
      </c>
      <c r="D14" s="34" t="s">
        <v>67</v>
      </c>
      <c r="E14" s="36" t="s">
        <v>262</v>
      </c>
      <c r="F14" s="34"/>
      <c r="G14" s="34" t="s">
        <v>81</v>
      </c>
      <c r="H14" s="36"/>
      <c r="I14" s="34"/>
      <c r="J14" s="34" t="s">
        <v>66</v>
      </c>
      <c r="K14" s="34" t="s">
        <v>64</v>
      </c>
      <c r="L14" s="40">
        <f t="shared" si="0"/>
        <v>5</v>
      </c>
    </row>
    <row r="15" ht="15" customHeight="1" spans="1:12">
      <c r="A15" s="9"/>
      <c r="B15" s="9">
        <v>11</v>
      </c>
      <c r="C15" s="10" t="s">
        <v>68</v>
      </c>
      <c r="D15" s="34" t="s">
        <v>108</v>
      </c>
      <c r="E15" s="36" t="s">
        <v>70</v>
      </c>
      <c r="F15" s="34"/>
      <c r="G15" s="34" t="s">
        <v>71</v>
      </c>
      <c r="H15" s="36"/>
      <c r="I15" s="34" t="s">
        <v>85</v>
      </c>
      <c r="J15" s="34" t="s">
        <v>144</v>
      </c>
      <c r="K15" s="34"/>
      <c r="L15" s="40">
        <f t="shared" si="0"/>
        <v>5</v>
      </c>
    </row>
    <row r="16" ht="15" customHeight="1" spans="1:12">
      <c r="A16" s="9"/>
      <c r="B16" s="9">
        <v>12</v>
      </c>
      <c r="C16" s="10" t="s">
        <v>72</v>
      </c>
      <c r="D16" s="34" t="s">
        <v>75</v>
      </c>
      <c r="E16" s="36"/>
      <c r="F16" s="34" t="s">
        <v>76</v>
      </c>
      <c r="G16" s="34" t="s">
        <v>121</v>
      </c>
      <c r="H16" s="36"/>
      <c r="I16" s="34"/>
      <c r="J16" s="34" t="s">
        <v>111</v>
      </c>
      <c r="K16" s="34" t="s">
        <v>73</v>
      </c>
      <c r="L16" s="40">
        <f t="shared" si="0"/>
        <v>5</v>
      </c>
    </row>
    <row r="17" ht="15" customHeight="1" spans="1:12">
      <c r="A17" s="9"/>
      <c r="B17" s="9">
        <v>13</v>
      </c>
      <c r="C17" s="10" t="s">
        <v>77</v>
      </c>
      <c r="D17" s="34" t="s">
        <v>48</v>
      </c>
      <c r="E17" s="36" t="s">
        <v>78</v>
      </c>
      <c r="F17" s="34"/>
      <c r="G17" s="34" t="s">
        <v>73</v>
      </c>
      <c r="H17" s="36"/>
      <c r="I17" s="34" t="s">
        <v>132</v>
      </c>
      <c r="J17" s="34"/>
      <c r="K17" s="34" t="s">
        <v>129</v>
      </c>
      <c r="L17" s="40">
        <f t="shared" si="0"/>
        <v>5</v>
      </c>
    </row>
    <row r="18" ht="15" customHeight="1" spans="1:12">
      <c r="A18" s="9"/>
      <c r="B18" s="9">
        <v>14</v>
      </c>
      <c r="C18" s="10" t="s">
        <v>79</v>
      </c>
      <c r="D18" s="34" t="s">
        <v>82</v>
      </c>
      <c r="E18" s="36"/>
      <c r="F18" s="34" t="s">
        <v>80</v>
      </c>
      <c r="G18" s="34" t="s">
        <v>37</v>
      </c>
      <c r="H18" s="36"/>
      <c r="I18" s="34"/>
      <c r="J18" s="34"/>
      <c r="K18" s="34" t="s">
        <v>107</v>
      </c>
      <c r="L18" s="40">
        <f t="shared" si="0"/>
        <v>4</v>
      </c>
    </row>
    <row r="19" ht="15" customHeight="1" spans="1:12">
      <c r="A19" s="9"/>
      <c r="B19" s="9">
        <v>15</v>
      </c>
      <c r="C19" s="10" t="s">
        <v>83</v>
      </c>
      <c r="D19" s="34" t="s">
        <v>87</v>
      </c>
      <c r="E19" s="36"/>
      <c r="F19" s="34" t="s">
        <v>86</v>
      </c>
      <c r="G19" s="34"/>
      <c r="H19" s="36"/>
      <c r="I19" s="34"/>
      <c r="J19" s="34" t="s">
        <v>84</v>
      </c>
      <c r="K19" s="34" t="s">
        <v>97</v>
      </c>
      <c r="L19" s="40">
        <f t="shared" si="0"/>
        <v>4</v>
      </c>
    </row>
    <row r="20" ht="15" customHeight="1" spans="1:12">
      <c r="A20" s="9"/>
      <c r="B20" s="9">
        <v>16</v>
      </c>
      <c r="C20" s="10" t="s">
        <v>88</v>
      </c>
      <c r="D20" s="34"/>
      <c r="E20" s="36" t="s">
        <v>91</v>
      </c>
      <c r="F20" s="34" t="s">
        <v>92</v>
      </c>
      <c r="G20" s="34"/>
      <c r="H20" s="36"/>
      <c r="I20" s="34" t="s">
        <v>89</v>
      </c>
      <c r="J20" s="34"/>
      <c r="K20" s="34" t="s">
        <v>120</v>
      </c>
      <c r="L20" s="40">
        <f t="shared" si="0"/>
        <v>4</v>
      </c>
    </row>
    <row r="21" ht="15" customHeight="1" spans="1:12">
      <c r="A21" s="13" t="s">
        <v>93</v>
      </c>
      <c r="B21" s="9">
        <v>1</v>
      </c>
      <c r="C21" s="10" t="s">
        <v>94</v>
      </c>
      <c r="D21" s="34" t="s">
        <v>55</v>
      </c>
      <c r="E21" s="36"/>
      <c r="F21" s="34" t="s">
        <v>89</v>
      </c>
      <c r="G21" s="34"/>
      <c r="H21" s="36"/>
      <c r="I21" s="34"/>
      <c r="J21" s="34" t="s">
        <v>80</v>
      </c>
      <c r="K21" s="34"/>
      <c r="L21" s="40">
        <f t="shared" si="0"/>
        <v>3</v>
      </c>
    </row>
    <row r="22" ht="15" customHeight="1" spans="1:12">
      <c r="A22" s="14"/>
      <c r="B22" s="9">
        <v>2</v>
      </c>
      <c r="C22" s="10" t="s">
        <v>95</v>
      </c>
      <c r="D22" s="34"/>
      <c r="E22" s="36" t="s">
        <v>26</v>
      </c>
      <c r="F22" s="34" t="s">
        <v>28</v>
      </c>
      <c r="G22" s="34"/>
      <c r="H22" s="36"/>
      <c r="I22" s="42"/>
      <c r="J22" s="34" t="s">
        <v>85</v>
      </c>
      <c r="K22" s="34" t="s">
        <v>41</v>
      </c>
      <c r="L22" s="40">
        <f t="shared" si="0"/>
        <v>4</v>
      </c>
    </row>
    <row r="23" ht="15" customHeight="1" spans="1:12">
      <c r="A23" s="14"/>
      <c r="B23" s="9">
        <v>3</v>
      </c>
      <c r="C23" s="10" t="s">
        <v>96</v>
      </c>
      <c r="D23" s="34"/>
      <c r="E23" s="36" t="s">
        <v>53</v>
      </c>
      <c r="F23" s="34"/>
      <c r="G23" s="34" t="s">
        <v>32</v>
      </c>
      <c r="H23" s="36"/>
      <c r="I23" s="34" t="s">
        <v>28</v>
      </c>
      <c r="J23" s="34" t="s">
        <v>97</v>
      </c>
      <c r="K23" s="34"/>
      <c r="L23" s="40">
        <f t="shared" si="0"/>
        <v>4</v>
      </c>
    </row>
    <row r="24" ht="15" customHeight="1" spans="1:12">
      <c r="A24" s="14"/>
      <c r="B24" s="9">
        <v>4</v>
      </c>
      <c r="C24" s="10" t="s">
        <v>98</v>
      </c>
      <c r="D24" s="34"/>
      <c r="E24" s="36" t="s">
        <v>71</v>
      </c>
      <c r="F24" s="34"/>
      <c r="G24" s="34" t="s">
        <v>42</v>
      </c>
      <c r="H24" s="36"/>
      <c r="I24" s="34" t="s">
        <v>34</v>
      </c>
      <c r="J24" s="34"/>
      <c r="K24" s="34" t="s">
        <v>27</v>
      </c>
      <c r="L24" s="40">
        <f t="shared" si="0"/>
        <v>4</v>
      </c>
    </row>
    <row r="25" ht="15" customHeight="1" spans="1:12">
      <c r="A25" s="14"/>
      <c r="B25" s="9">
        <v>5</v>
      </c>
      <c r="C25" s="10" t="s">
        <v>99</v>
      </c>
      <c r="D25" s="34"/>
      <c r="E25" s="36" t="s">
        <v>59</v>
      </c>
      <c r="F25" s="34" t="s">
        <v>45</v>
      </c>
      <c r="G25" s="34"/>
      <c r="H25" s="36"/>
      <c r="I25" s="34" t="s">
        <v>73</v>
      </c>
      <c r="J25" s="34" t="s">
        <v>50</v>
      </c>
      <c r="K25" s="34"/>
      <c r="L25" s="40">
        <f t="shared" si="0"/>
        <v>4</v>
      </c>
    </row>
    <row r="26" ht="15" customHeight="1" spans="1:12">
      <c r="A26" s="14"/>
      <c r="B26" s="9">
        <v>6</v>
      </c>
      <c r="C26" s="10" t="s">
        <v>101</v>
      </c>
      <c r="D26" s="34" t="s">
        <v>66</v>
      </c>
      <c r="E26" s="36" t="s">
        <v>56</v>
      </c>
      <c r="F26" s="34"/>
      <c r="G26" s="34" t="s">
        <v>69</v>
      </c>
      <c r="H26" s="36"/>
      <c r="I26" s="34" t="s">
        <v>31</v>
      </c>
      <c r="J26" s="34"/>
      <c r="K26" s="34" t="s">
        <v>144</v>
      </c>
      <c r="L26" s="40">
        <f t="shared" si="0"/>
        <v>5</v>
      </c>
    </row>
    <row r="27" ht="15" customHeight="1" spans="1:12">
      <c r="A27" s="14"/>
      <c r="B27" s="9">
        <v>7</v>
      </c>
      <c r="C27" s="10" t="s">
        <v>102</v>
      </c>
      <c r="D27" s="34" t="s">
        <v>49</v>
      </c>
      <c r="E27" s="36" t="s">
        <v>67</v>
      </c>
      <c r="F27" s="34"/>
      <c r="G27" s="34"/>
      <c r="H27" s="36"/>
      <c r="I27" s="34" t="s">
        <v>44</v>
      </c>
      <c r="J27" s="34" t="s">
        <v>90</v>
      </c>
      <c r="K27" s="34"/>
      <c r="L27" s="40">
        <f t="shared" si="0"/>
        <v>4</v>
      </c>
    </row>
    <row r="28" ht="15" customHeight="1" spans="1:12">
      <c r="A28" s="14"/>
      <c r="B28" s="9">
        <v>8</v>
      </c>
      <c r="C28" s="10" t="s">
        <v>103</v>
      </c>
      <c r="D28" s="34" t="s">
        <v>38</v>
      </c>
      <c r="E28" s="36" t="s">
        <v>121</v>
      </c>
      <c r="F28" s="34"/>
      <c r="G28" s="34" t="s">
        <v>92</v>
      </c>
      <c r="H28" s="36"/>
      <c r="I28" s="34" t="s">
        <v>104</v>
      </c>
      <c r="J28" s="34"/>
      <c r="K28" s="34"/>
      <c r="L28" s="40">
        <f t="shared" si="0"/>
        <v>4</v>
      </c>
    </row>
    <row r="29" ht="15" customHeight="1" spans="1:12">
      <c r="A29" s="14"/>
      <c r="B29" s="9">
        <v>9</v>
      </c>
      <c r="C29" s="10" t="s">
        <v>105</v>
      </c>
      <c r="D29" s="34" t="s">
        <v>86</v>
      </c>
      <c r="E29" s="36" t="s">
        <v>38</v>
      </c>
      <c r="F29" s="34"/>
      <c r="G29" s="34" t="s">
        <v>263</v>
      </c>
      <c r="H29" s="36"/>
      <c r="I29" s="34"/>
      <c r="J29" s="34"/>
      <c r="K29" s="34" t="s">
        <v>37</v>
      </c>
      <c r="L29" s="40">
        <f t="shared" si="0"/>
        <v>4</v>
      </c>
    </row>
    <row r="30" ht="15" customHeight="1" spans="1:12">
      <c r="A30" s="14"/>
      <c r="B30" s="9">
        <v>10</v>
      </c>
      <c r="C30" s="10" t="s">
        <v>106</v>
      </c>
      <c r="D30" s="34" t="s">
        <v>22</v>
      </c>
      <c r="E30" s="36"/>
      <c r="F30" s="34" t="s">
        <v>24</v>
      </c>
      <c r="G30" s="34" t="s">
        <v>44</v>
      </c>
      <c r="H30" s="36"/>
      <c r="I30" s="34"/>
      <c r="J30" s="34" t="s">
        <v>29</v>
      </c>
      <c r="K30" s="34"/>
      <c r="L30" s="40">
        <f t="shared" si="0"/>
        <v>4</v>
      </c>
    </row>
    <row r="31" ht="15" customHeight="1" spans="1:12">
      <c r="A31" s="14"/>
      <c r="B31" s="9">
        <v>11</v>
      </c>
      <c r="C31" s="10" t="s">
        <v>109</v>
      </c>
      <c r="D31" s="34" t="s">
        <v>78</v>
      </c>
      <c r="E31" s="36" t="s">
        <v>60</v>
      </c>
      <c r="F31" s="34"/>
      <c r="G31" s="34" t="s">
        <v>50</v>
      </c>
      <c r="H31" s="36"/>
      <c r="I31" s="34" t="s">
        <v>52</v>
      </c>
      <c r="J31" s="34"/>
      <c r="K31" s="34" t="s">
        <v>29</v>
      </c>
      <c r="L31" s="40">
        <f t="shared" si="0"/>
        <v>5</v>
      </c>
    </row>
    <row r="32" ht="15" customHeight="1" spans="1:12">
      <c r="A32" s="14"/>
      <c r="B32" s="9">
        <v>12</v>
      </c>
      <c r="C32" s="10" t="s">
        <v>110</v>
      </c>
      <c r="D32" s="34" t="s">
        <v>112</v>
      </c>
      <c r="E32" s="36"/>
      <c r="F32" s="34"/>
      <c r="G32" s="34" t="s">
        <v>54</v>
      </c>
      <c r="H32" s="36"/>
      <c r="I32" s="34" t="s">
        <v>111</v>
      </c>
      <c r="J32" s="36"/>
      <c r="K32" s="34" t="s">
        <v>32</v>
      </c>
      <c r="L32" s="40">
        <f t="shared" si="0"/>
        <v>4</v>
      </c>
    </row>
    <row r="33" ht="15" customHeight="1" spans="1:12">
      <c r="A33" s="14"/>
      <c r="B33" s="9">
        <v>13</v>
      </c>
      <c r="C33" s="10" t="s">
        <v>113</v>
      </c>
      <c r="D33" s="34"/>
      <c r="E33" s="36" t="s">
        <v>23</v>
      </c>
      <c r="F33" s="34"/>
      <c r="G33" s="34" t="s">
        <v>33</v>
      </c>
      <c r="H33" s="36"/>
      <c r="I33" s="34"/>
      <c r="J33" s="34" t="s">
        <v>129</v>
      </c>
      <c r="K33" s="34" t="s">
        <v>58</v>
      </c>
      <c r="L33" s="40">
        <f t="shared" si="0"/>
        <v>4</v>
      </c>
    </row>
    <row r="34" ht="15" customHeight="1" spans="1:12">
      <c r="A34" s="14"/>
      <c r="B34" s="9">
        <v>14</v>
      </c>
      <c r="C34" s="10" t="s">
        <v>116</v>
      </c>
      <c r="D34" s="34" t="s">
        <v>36</v>
      </c>
      <c r="E34" s="36"/>
      <c r="F34" s="34"/>
      <c r="G34" s="34" t="s">
        <v>41</v>
      </c>
      <c r="H34" s="36"/>
      <c r="I34" s="34"/>
      <c r="J34" s="34" t="s">
        <v>89</v>
      </c>
      <c r="K34" s="34" t="s">
        <v>47</v>
      </c>
      <c r="L34" s="40">
        <f t="shared" si="0"/>
        <v>4</v>
      </c>
    </row>
    <row r="35" ht="15" customHeight="1" spans="1:12">
      <c r="A35" s="14"/>
      <c r="B35" s="9">
        <v>15</v>
      </c>
      <c r="C35" s="10" t="s">
        <v>117</v>
      </c>
      <c r="D35" s="34" t="s">
        <v>114</v>
      </c>
      <c r="E35" s="36" t="s">
        <v>76</v>
      </c>
      <c r="F35" s="34"/>
      <c r="G35" s="34" t="s">
        <v>91</v>
      </c>
      <c r="H35" s="36"/>
      <c r="I35" s="34" t="s">
        <v>84</v>
      </c>
      <c r="J35" s="34" t="s">
        <v>65</v>
      </c>
      <c r="K35" s="34"/>
      <c r="L35" s="40">
        <f t="shared" si="0"/>
        <v>5</v>
      </c>
    </row>
    <row r="36" ht="15" customHeight="1" spans="1:12">
      <c r="A36" s="15"/>
      <c r="B36" s="9">
        <v>16</v>
      </c>
      <c r="C36" s="10" t="s">
        <v>119</v>
      </c>
      <c r="D36" s="34" t="s">
        <v>138</v>
      </c>
      <c r="E36" s="36"/>
      <c r="F36" s="34" t="s">
        <v>82</v>
      </c>
      <c r="G36" s="34"/>
      <c r="H36" s="36"/>
      <c r="I36" s="34" t="s">
        <v>81</v>
      </c>
      <c r="J36" s="34" t="s">
        <v>75</v>
      </c>
      <c r="K36" s="34"/>
      <c r="L36" s="40">
        <f t="shared" si="0"/>
        <v>4</v>
      </c>
    </row>
    <row r="37" ht="15" customHeight="1" spans="1:12">
      <c r="A37" s="9" t="s">
        <v>122</v>
      </c>
      <c r="B37" s="16">
        <v>1</v>
      </c>
      <c r="C37" s="10" t="s">
        <v>123</v>
      </c>
      <c r="D37" s="34"/>
      <c r="E37" s="36"/>
      <c r="F37" s="34"/>
      <c r="G37" s="34" t="s">
        <v>49</v>
      </c>
      <c r="H37" s="36"/>
      <c r="I37" s="34"/>
      <c r="J37" s="34"/>
      <c r="K37" s="34"/>
      <c r="L37" s="40">
        <f t="shared" si="0"/>
        <v>1</v>
      </c>
    </row>
    <row r="38" ht="15" customHeight="1" spans="1:12">
      <c r="A38" s="9"/>
      <c r="B38" s="16">
        <v>2</v>
      </c>
      <c r="C38" s="10" t="s">
        <v>124</v>
      </c>
      <c r="D38" s="34" t="s">
        <v>64</v>
      </c>
      <c r="E38" s="36" t="s">
        <v>66</v>
      </c>
      <c r="F38" s="34"/>
      <c r="G38" s="34" t="s">
        <v>26</v>
      </c>
      <c r="H38" s="36"/>
      <c r="I38" s="34"/>
      <c r="J38" s="34" t="s">
        <v>22</v>
      </c>
      <c r="K38" s="34"/>
      <c r="L38" s="40">
        <f t="shared" si="0"/>
        <v>4</v>
      </c>
    </row>
    <row r="39" ht="15" customHeight="1" spans="1:12">
      <c r="A39" s="9"/>
      <c r="B39" s="16">
        <v>3</v>
      </c>
      <c r="C39" s="10" t="s">
        <v>125</v>
      </c>
      <c r="D39" s="34"/>
      <c r="E39" s="36" t="s">
        <v>75</v>
      </c>
      <c r="F39" s="34" t="s">
        <v>55</v>
      </c>
      <c r="G39" s="34"/>
      <c r="H39" s="36"/>
      <c r="I39" s="34" t="s">
        <v>66</v>
      </c>
      <c r="J39" s="34" t="s">
        <v>58</v>
      </c>
      <c r="K39" s="34"/>
      <c r="L39" s="40">
        <f t="shared" si="0"/>
        <v>4</v>
      </c>
    </row>
    <row r="40" ht="15" customHeight="1" spans="1:12">
      <c r="A40" s="9"/>
      <c r="B40" s="16">
        <v>4</v>
      </c>
      <c r="C40" s="10" t="s">
        <v>126</v>
      </c>
      <c r="D40" s="34" t="s">
        <v>23</v>
      </c>
      <c r="E40" s="36"/>
      <c r="F40" s="34" t="s">
        <v>73</v>
      </c>
      <c r="G40" s="34"/>
      <c r="H40" s="36"/>
      <c r="I40" s="34" t="s">
        <v>53</v>
      </c>
      <c r="J40" s="34" t="s">
        <v>40</v>
      </c>
      <c r="K40" s="34"/>
      <c r="L40" s="40">
        <f t="shared" si="0"/>
        <v>4</v>
      </c>
    </row>
    <row r="41" ht="15" customHeight="1" spans="1:12">
      <c r="A41" s="9"/>
      <c r="B41" s="16">
        <v>5</v>
      </c>
      <c r="C41" s="10" t="s">
        <v>127</v>
      </c>
      <c r="D41" s="34" t="s">
        <v>73</v>
      </c>
      <c r="E41" s="36"/>
      <c r="F41" s="34" t="s">
        <v>60</v>
      </c>
      <c r="G41" s="34" t="s">
        <v>58</v>
      </c>
      <c r="H41" s="36"/>
      <c r="I41" s="34"/>
      <c r="J41" s="34" t="s">
        <v>34</v>
      </c>
      <c r="K41" s="34"/>
      <c r="L41" s="40">
        <f t="shared" si="0"/>
        <v>4</v>
      </c>
    </row>
    <row r="42" ht="15" customHeight="1" spans="1:12">
      <c r="A42" s="9"/>
      <c r="B42" s="16">
        <v>6</v>
      </c>
      <c r="C42" s="10" t="s">
        <v>128</v>
      </c>
      <c r="D42" s="34"/>
      <c r="E42" s="36" t="s">
        <v>45</v>
      </c>
      <c r="F42" s="36" t="s">
        <v>114</v>
      </c>
      <c r="G42" s="34"/>
      <c r="H42" s="36"/>
      <c r="I42" s="34" t="s">
        <v>129</v>
      </c>
      <c r="J42" s="34" t="s">
        <v>55</v>
      </c>
      <c r="K42" s="34"/>
      <c r="L42" s="40">
        <f t="shared" si="0"/>
        <v>4</v>
      </c>
    </row>
    <row r="43" ht="15" customHeight="1" spans="1:12">
      <c r="A43" s="9"/>
      <c r="B43" s="16">
        <v>7</v>
      </c>
      <c r="C43" s="10" t="s">
        <v>130</v>
      </c>
      <c r="D43" s="34" t="s">
        <v>41</v>
      </c>
      <c r="E43" s="36" t="s">
        <v>27</v>
      </c>
      <c r="F43" s="34"/>
      <c r="G43" s="34"/>
      <c r="H43" s="36"/>
      <c r="I43" s="34" t="s">
        <v>121</v>
      </c>
      <c r="J43" s="34" t="s">
        <v>49</v>
      </c>
      <c r="K43" s="34"/>
      <c r="L43" s="40">
        <f t="shared" si="0"/>
        <v>4</v>
      </c>
    </row>
    <row r="44" ht="15" customHeight="1" spans="1:12">
      <c r="A44" s="9"/>
      <c r="B44" s="16">
        <v>8</v>
      </c>
      <c r="C44" s="10" t="s">
        <v>131</v>
      </c>
      <c r="D44" s="34" t="s">
        <v>115</v>
      </c>
      <c r="E44" s="36"/>
      <c r="F44" s="34" t="s">
        <v>108</v>
      </c>
      <c r="G44" s="34"/>
      <c r="H44" s="36"/>
      <c r="I44" s="34" t="s">
        <v>120</v>
      </c>
      <c r="J44" s="34" t="s">
        <v>100</v>
      </c>
      <c r="K44" s="34"/>
      <c r="L44" s="40">
        <f t="shared" si="0"/>
        <v>4</v>
      </c>
    </row>
    <row r="45" ht="15" customHeight="1" spans="1:12">
      <c r="A45" s="9"/>
      <c r="B45" s="16">
        <v>9</v>
      </c>
      <c r="C45" s="10" t="s">
        <v>133</v>
      </c>
      <c r="D45" s="34" t="s">
        <v>26</v>
      </c>
      <c r="E45" s="36"/>
      <c r="F45" s="34" t="s">
        <v>33</v>
      </c>
      <c r="G45" s="34" t="s">
        <v>65</v>
      </c>
      <c r="H45" s="36"/>
      <c r="I45" s="34"/>
      <c r="J45" s="34" t="s">
        <v>71</v>
      </c>
      <c r="K45" s="34"/>
      <c r="L45" s="40">
        <f t="shared" si="0"/>
        <v>4</v>
      </c>
    </row>
    <row r="46" ht="15" customHeight="1" spans="1:12">
      <c r="A46" s="9"/>
      <c r="B46" s="16">
        <v>10</v>
      </c>
      <c r="C46" s="10" t="s">
        <v>134</v>
      </c>
      <c r="D46" s="34"/>
      <c r="E46" s="33"/>
      <c r="F46" s="34" t="s">
        <v>22</v>
      </c>
      <c r="G46" s="34" t="s">
        <v>29</v>
      </c>
      <c r="H46" s="36"/>
      <c r="I46" s="34"/>
      <c r="J46" s="34" t="s">
        <v>78</v>
      </c>
      <c r="K46" s="34"/>
      <c r="L46" s="40">
        <f t="shared" si="0"/>
        <v>3</v>
      </c>
    </row>
    <row r="47" ht="15" customHeight="1" spans="1:12">
      <c r="A47" s="9"/>
      <c r="B47" s="16">
        <v>11</v>
      </c>
      <c r="C47" s="10" t="s">
        <v>136</v>
      </c>
      <c r="D47" s="34" t="s">
        <v>44</v>
      </c>
      <c r="E47" s="36" t="s">
        <v>86</v>
      </c>
      <c r="F47" s="34"/>
      <c r="G47" s="34" t="s">
        <v>90</v>
      </c>
      <c r="H47" s="36"/>
      <c r="I47" s="34" t="s">
        <v>50</v>
      </c>
      <c r="J47" s="34"/>
      <c r="K47" s="34" t="s">
        <v>28</v>
      </c>
      <c r="L47" s="40">
        <f t="shared" si="0"/>
        <v>5</v>
      </c>
    </row>
    <row r="48" ht="15" customHeight="1" spans="1:12">
      <c r="A48" s="9"/>
      <c r="B48" s="16">
        <v>12</v>
      </c>
      <c r="C48" s="10" t="s">
        <v>137</v>
      </c>
      <c r="D48" s="34" t="s">
        <v>81</v>
      </c>
      <c r="E48" s="36"/>
      <c r="F48" s="34" t="s">
        <v>138</v>
      </c>
      <c r="G48" s="34"/>
      <c r="H48" s="36"/>
      <c r="I48" s="34" t="s">
        <v>54</v>
      </c>
      <c r="J48" s="34"/>
      <c r="K48" s="34"/>
      <c r="L48" s="40">
        <f t="shared" si="0"/>
        <v>3</v>
      </c>
    </row>
    <row r="49" ht="15" customHeight="1" spans="1:12">
      <c r="A49" s="9"/>
      <c r="B49" s="16">
        <v>13</v>
      </c>
      <c r="C49" s="10" t="s">
        <v>139</v>
      </c>
      <c r="D49" s="34" t="s">
        <v>85</v>
      </c>
      <c r="E49" s="36" t="s">
        <v>140</v>
      </c>
      <c r="F49" s="34"/>
      <c r="G49" s="34" t="s">
        <v>82</v>
      </c>
      <c r="H49" s="36"/>
      <c r="I49" s="34"/>
      <c r="J49" s="37" t="s">
        <v>48</v>
      </c>
      <c r="K49" s="34"/>
      <c r="L49" s="40">
        <f t="shared" si="0"/>
        <v>4</v>
      </c>
    </row>
    <row r="50" ht="15" customHeight="1" spans="1:12">
      <c r="A50" s="9"/>
      <c r="B50" s="16">
        <v>14</v>
      </c>
      <c r="C50" s="10" t="s">
        <v>141</v>
      </c>
      <c r="D50" s="34" t="s">
        <v>69</v>
      </c>
      <c r="E50" s="36"/>
      <c r="F50" s="34" t="s">
        <v>87</v>
      </c>
      <c r="G50" s="34" t="s">
        <v>76</v>
      </c>
      <c r="H50" s="36"/>
      <c r="I50" s="34"/>
      <c r="J50" s="34" t="s">
        <v>59</v>
      </c>
      <c r="K50" s="34"/>
      <c r="L50" s="40">
        <f t="shared" si="0"/>
        <v>4</v>
      </c>
    </row>
    <row r="51" ht="15" customHeight="1" spans="1:12">
      <c r="A51" s="9"/>
      <c r="B51" s="16">
        <v>15</v>
      </c>
      <c r="C51" s="10" t="s">
        <v>142</v>
      </c>
      <c r="D51" s="34" t="s">
        <v>91</v>
      </c>
      <c r="E51" s="36" t="s">
        <v>24</v>
      </c>
      <c r="F51" s="34"/>
      <c r="G51" s="34" t="s">
        <v>34</v>
      </c>
      <c r="H51" s="36"/>
      <c r="I51" s="34" t="s">
        <v>36</v>
      </c>
      <c r="J51" s="34" t="s">
        <v>74</v>
      </c>
      <c r="K51" s="34"/>
      <c r="L51" s="40">
        <f t="shared" si="0"/>
        <v>5</v>
      </c>
    </row>
    <row r="52" ht="15" customHeight="1" spans="1:12">
      <c r="A52" s="9"/>
      <c r="B52" s="16">
        <v>16</v>
      </c>
      <c r="C52" s="10" t="s">
        <v>143</v>
      </c>
      <c r="D52" s="34"/>
      <c r="E52" s="36"/>
      <c r="F52" s="34" t="s">
        <v>62</v>
      </c>
      <c r="G52" s="34"/>
      <c r="H52" s="36"/>
      <c r="I52" s="34" t="s">
        <v>144</v>
      </c>
      <c r="J52" s="34"/>
      <c r="K52" s="34" t="s">
        <v>111</v>
      </c>
      <c r="L52" s="40">
        <f t="shared" si="0"/>
        <v>3</v>
      </c>
    </row>
    <row r="53" ht="15" customHeight="1" spans="1:12">
      <c r="A53" s="17" t="s">
        <v>145</v>
      </c>
      <c r="B53" s="9">
        <v>1</v>
      </c>
      <c r="C53" s="10" t="s">
        <v>146</v>
      </c>
      <c r="D53" s="34"/>
      <c r="E53" s="36" t="s">
        <v>73</v>
      </c>
      <c r="F53" s="34" t="s">
        <v>90</v>
      </c>
      <c r="G53" s="34"/>
      <c r="H53" s="36"/>
      <c r="I53" s="34" t="s">
        <v>42</v>
      </c>
      <c r="J53" s="34"/>
      <c r="K53" s="34" t="s">
        <v>49</v>
      </c>
      <c r="L53" s="40">
        <f t="shared" si="0"/>
        <v>4</v>
      </c>
    </row>
    <row r="54" ht="15" customHeight="1" spans="1:12">
      <c r="A54" s="13" t="s">
        <v>147</v>
      </c>
      <c r="B54" s="9">
        <v>2</v>
      </c>
      <c r="C54" s="10" t="s">
        <v>148</v>
      </c>
      <c r="D54" s="34"/>
      <c r="E54" s="36" t="s">
        <v>65</v>
      </c>
      <c r="F54" s="34" t="s">
        <v>44</v>
      </c>
      <c r="G54" s="34"/>
      <c r="H54" s="36"/>
      <c r="I54" s="34" t="s">
        <v>55</v>
      </c>
      <c r="J54" s="34" t="s">
        <v>41</v>
      </c>
      <c r="K54" s="34"/>
      <c r="L54" s="40">
        <f t="shared" si="0"/>
        <v>4</v>
      </c>
    </row>
    <row r="55" ht="15" customHeight="1" spans="1:12">
      <c r="A55" s="14"/>
      <c r="B55" s="9">
        <v>3</v>
      </c>
      <c r="C55" s="10" t="s">
        <v>149</v>
      </c>
      <c r="D55" s="34" t="s">
        <v>27</v>
      </c>
      <c r="E55" s="36"/>
      <c r="F55" s="34" t="s">
        <v>31</v>
      </c>
      <c r="G55" s="34" t="s">
        <v>22</v>
      </c>
      <c r="H55" s="36"/>
      <c r="I55" s="34" t="s">
        <v>78</v>
      </c>
      <c r="J55" s="34"/>
      <c r="K55" s="34" t="s">
        <v>38</v>
      </c>
      <c r="L55" s="40">
        <f t="shared" si="0"/>
        <v>5</v>
      </c>
    </row>
    <row r="56" ht="15" customHeight="1" spans="1:12">
      <c r="A56" s="15"/>
      <c r="B56" s="9">
        <v>4</v>
      </c>
      <c r="C56" s="10" t="s">
        <v>150</v>
      </c>
      <c r="D56" s="34" t="s">
        <v>80</v>
      </c>
      <c r="E56" s="36"/>
      <c r="F56" s="34" t="s">
        <v>34</v>
      </c>
      <c r="G56" s="34"/>
      <c r="H56" s="36"/>
      <c r="I56" s="34"/>
      <c r="J56" s="34" t="s">
        <v>104</v>
      </c>
      <c r="K56" s="42"/>
      <c r="L56" s="40">
        <f t="shared" si="0"/>
        <v>3</v>
      </c>
    </row>
    <row r="57" ht="15" customHeight="1" spans="1:12">
      <c r="A57" s="13" t="s">
        <v>151</v>
      </c>
      <c r="B57" s="9">
        <v>5</v>
      </c>
      <c r="C57" s="10" t="s">
        <v>152</v>
      </c>
      <c r="D57" s="34"/>
      <c r="E57" s="36" t="s">
        <v>28</v>
      </c>
      <c r="F57" s="34" t="s">
        <v>64</v>
      </c>
      <c r="G57" s="34"/>
      <c r="H57" s="36"/>
      <c r="I57" s="34" t="s">
        <v>69</v>
      </c>
      <c r="J57" s="34"/>
      <c r="K57" s="34" t="s">
        <v>121</v>
      </c>
      <c r="L57" s="40">
        <f t="shared" si="0"/>
        <v>4</v>
      </c>
    </row>
    <row r="58" ht="15" customHeight="1" spans="1:12">
      <c r="A58" s="14"/>
      <c r="B58" s="9">
        <v>6</v>
      </c>
      <c r="C58" s="10" t="s">
        <v>153</v>
      </c>
      <c r="D58" s="34" t="s">
        <v>89</v>
      </c>
      <c r="E58" s="36" t="s">
        <v>81</v>
      </c>
      <c r="F58" s="34"/>
      <c r="G58" s="34" t="s">
        <v>60</v>
      </c>
      <c r="H58" s="36"/>
      <c r="I58" s="34" t="s">
        <v>56</v>
      </c>
      <c r="J58" s="34"/>
      <c r="K58" s="34"/>
      <c r="L58" s="40">
        <f t="shared" si="0"/>
        <v>4</v>
      </c>
    </row>
    <row r="59" ht="15" customHeight="1" spans="1:12">
      <c r="A59" s="14"/>
      <c r="B59" s="9">
        <v>7</v>
      </c>
      <c r="C59" s="10" t="s">
        <v>154</v>
      </c>
      <c r="D59" s="34" t="s">
        <v>50</v>
      </c>
      <c r="E59" s="36" t="s">
        <v>58</v>
      </c>
      <c r="F59" s="34"/>
      <c r="G59" s="34"/>
      <c r="H59" s="36"/>
      <c r="I59" s="34" t="s">
        <v>100</v>
      </c>
      <c r="J59" s="34"/>
      <c r="K59" s="34" t="s">
        <v>33</v>
      </c>
      <c r="L59" s="40">
        <f t="shared" si="0"/>
        <v>4</v>
      </c>
    </row>
    <row r="60" ht="15" customHeight="1" spans="1:12">
      <c r="A60" s="14"/>
      <c r="B60" s="9">
        <v>8</v>
      </c>
      <c r="C60" s="10" t="s">
        <v>155</v>
      </c>
      <c r="D60" t="s">
        <v>59</v>
      </c>
      <c r="E60" s="36"/>
      <c r="F60" s="34" t="s">
        <v>48</v>
      </c>
      <c r="G60" s="34" t="s">
        <v>27</v>
      </c>
      <c r="H60" s="36"/>
      <c r="I60" s="34"/>
      <c r="J60" s="34"/>
      <c r="K60" s="34" t="s">
        <v>114</v>
      </c>
      <c r="L60" s="40">
        <f>COUNTIFS(E60:K60,"&gt;""")</f>
        <v>3</v>
      </c>
    </row>
    <row r="61" ht="15" customHeight="1" spans="1:12">
      <c r="A61" s="14"/>
      <c r="B61" s="9">
        <v>9</v>
      </c>
      <c r="C61" s="10" t="s">
        <v>156</v>
      </c>
      <c r="D61" s="34"/>
      <c r="E61" s="36"/>
      <c r="F61" s="34" t="s">
        <v>29</v>
      </c>
      <c r="G61" s="34" t="s">
        <v>140</v>
      </c>
      <c r="H61" s="36"/>
      <c r="I61" s="34" t="s">
        <v>74</v>
      </c>
      <c r="J61" s="34"/>
      <c r="K61" s="34" t="s">
        <v>52</v>
      </c>
      <c r="L61" s="40">
        <f t="shared" si="0"/>
        <v>4</v>
      </c>
    </row>
    <row r="62" ht="15" customHeight="1" spans="1:12">
      <c r="A62" s="15"/>
      <c r="B62" s="9">
        <v>10</v>
      </c>
      <c r="C62" s="10" t="s">
        <v>157</v>
      </c>
      <c r="D62" s="34" t="s">
        <v>45</v>
      </c>
      <c r="E62" s="36"/>
      <c r="F62" t="s">
        <v>32</v>
      </c>
      <c r="G62" s="37"/>
      <c r="H62" s="36"/>
      <c r="I62" s="34" t="s">
        <v>107</v>
      </c>
      <c r="J62" s="34" t="s">
        <v>135</v>
      </c>
      <c r="K62" s="34"/>
      <c r="L62" s="40">
        <f t="shared" si="0"/>
        <v>4</v>
      </c>
    </row>
    <row r="63" ht="15" customHeight="1" spans="1:12">
      <c r="A63" s="13" t="s">
        <v>158</v>
      </c>
      <c r="B63" s="9">
        <v>11</v>
      </c>
      <c r="C63" s="10" t="s">
        <v>159</v>
      </c>
      <c r="D63" s="34" t="s">
        <v>54</v>
      </c>
      <c r="E63" s="36" t="s">
        <v>44</v>
      </c>
      <c r="F63" s="34"/>
      <c r="G63" s="34" t="s">
        <v>85</v>
      </c>
      <c r="H63" s="36"/>
      <c r="I63" s="34"/>
      <c r="J63" s="34" t="s">
        <v>33</v>
      </c>
      <c r="K63" s="34" t="s">
        <v>26</v>
      </c>
      <c r="L63" s="40">
        <f t="shared" si="0"/>
        <v>5</v>
      </c>
    </row>
    <row r="64" ht="15" customHeight="1" spans="1:12">
      <c r="A64" s="14"/>
      <c r="B64" s="9">
        <v>12</v>
      </c>
      <c r="C64" s="10" t="s">
        <v>160</v>
      </c>
      <c r="D64" s="34"/>
      <c r="E64" s="36" t="s">
        <v>49</v>
      </c>
      <c r="F64" s="34"/>
      <c r="G64" s="34" t="s">
        <v>40</v>
      </c>
      <c r="H64" s="36"/>
      <c r="I64" s="34" t="s">
        <v>27</v>
      </c>
      <c r="J64" s="34"/>
      <c r="K64" s="34" t="s">
        <v>24</v>
      </c>
      <c r="L64" s="40">
        <f t="shared" si="0"/>
        <v>4</v>
      </c>
    </row>
    <row r="65" ht="15" customHeight="1" spans="1:12">
      <c r="A65" s="14"/>
      <c r="B65" s="9">
        <v>13</v>
      </c>
      <c r="C65" s="10" t="s">
        <v>161</v>
      </c>
      <c r="D65" s="34"/>
      <c r="E65" s="36" t="s">
        <v>69</v>
      </c>
      <c r="F65" s="34"/>
      <c r="G65" s="34" t="s">
        <v>55</v>
      </c>
      <c r="H65" s="36"/>
      <c r="I65" s="34"/>
      <c r="J65" s="34" t="s">
        <v>73</v>
      </c>
      <c r="K65" s="34" t="s">
        <v>23</v>
      </c>
      <c r="L65" s="40">
        <f t="shared" si="0"/>
        <v>4</v>
      </c>
    </row>
    <row r="66" ht="15" customHeight="1" spans="1:12">
      <c r="A66" s="15"/>
      <c r="B66" s="9">
        <v>14</v>
      </c>
      <c r="C66" s="10" t="s">
        <v>162</v>
      </c>
      <c r="D66" s="34" t="s">
        <v>71</v>
      </c>
      <c r="E66" s="36"/>
      <c r="F66" s="34" t="s">
        <v>37</v>
      </c>
      <c r="G66" s="34" t="s">
        <v>36</v>
      </c>
      <c r="H66" s="36"/>
      <c r="I66" s="34" t="s">
        <v>22</v>
      </c>
      <c r="J66" s="34"/>
      <c r="K66" s="34" t="s">
        <v>132</v>
      </c>
      <c r="L66" s="40">
        <f t="shared" si="0"/>
        <v>5</v>
      </c>
    </row>
    <row r="67" ht="15" customHeight="1" spans="1:12">
      <c r="A67" s="14" t="s">
        <v>163</v>
      </c>
      <c r="B67" s="9">
        <v>1</v>
      </c>
      <c r="C67" s="10" t="s">
        <v>164</v>
      </c>
      <c r="D67" s="34"/>
      <c r="E67" s="36" t="s">
        <v>54</v>
      </c>
      <c r="F67" s="34" t="s">
        <v>23</v>
      </c>
      <c r="G67" s="34"/>
      <c r="H67" s="36"/>
      <c r="I67" s="34" t="s">
        <v>58</v>
      </c>
      <c r="J67" s="34" t="s">
        <v>64</v>
      </c>
      <c r="K67" s="34"/>
      <c r="L67" s="40">
        <f t="shared" si="0"/>
        <v>4</v>
      </c>
    </row>
    <row r="68" ht="15" customHeight="1" spans="1:12">
      <c r="A68" s="21"/>
      <c r="B68" s="9">
        <v>2</v>
      </c>
      <c r="C68" s="10" t="s">
        <v>166</v>
      </c>
      <c r="D68" s="34"/>
      <c r="E68" s="36"/>
      <c r="F68" s="34"/>
      <c r="G68" s="34" t="s">
        <v>31</v>
      </c>
      <c r="H68" s="36"/>
      <c r="I68" s="34"/>
      <c r="J68" s="34" t="s">
        <v>69</v>
      </c>
      <c r="K68" s="34" t="s">
        <v>56</v>
      </c>
      <c r="L68" s="40">
        <f t="shared" si="0"/>
        <v>3</v>
      </c>
    </row>
    <row r="69" ht="15" customHeight="1" spans="1:12">
      <c r="A69" s="21"/>
      <c r="B69" s="9">
        <v>3</v>
      </c>
      <c r="C69" s="10" t="s">
        <v>167</v>
      </c>
      <c r="D69" s="34"/>
      <c r="E69" s="36" t="s">
        <v>64</v>
      </c>
      <c r="F69" s="34"/>
      <c r="G69" s="34"/>
      <c r="H69" s="36"/>
      <c r="I69" s="34"/>
      <c r="J69" s="34" t="s">
        <v>54</v>
      </c>
      <c r="K69" s="34"/>
      <c r="L69" s="40">
        <f t="shared" si="0"/>
        <v>2</v>
      </c>
    </row>
    <row r="70" ht="15" customHeight="1" spans="1:12">
      <c r="A70" s="21"/>
      <c r="B70" s="9">
        <v>4</v>
      </c>
      <c r="C70" s="10" t="s">
        <v>168</v>
      </c>
      <c r="D70" s="34"/>
      <c r="E70" s="36" t="s">
        <v>41</v>
      </c>
      <c r="F70" s="34" t="s">
        <v>75</v>
      </c>
      <c r="G70" s="34"/>
      <c r="H70" s="36"/>
      <c r="I70" s="34" t="s">
        <v>80</v>
      </c>
      <c r="J70" s="34" t="s">
        <v>132</v>
      </c>
      <c r="K70" s="34"/>
      <c r="L70" s="40">
        <f t="shared" ref="L70:L107" si="1">COUNTIFS(D70:K70,"&gt;""")</f>
        <v>4</v>
      </c>
    </row>
    <row r="71" ht="15" customHeight="1" spans="1:12">
      <c r="A71" s="21"/>
      <c r="B71" s="9">
        <v>5</v>
      </c>
      <c r="C71" s="10" t="s">
        <v>169</v>
      </c>
      <c r="D71" s="34" t="s">
        <v>264</v>
      </c>
      <c r="E71" s="36" t="s">
        <v>90</v>
      </c>
      <c r="F71" s="34"/>
      <c r="G71" s="34"/>
      <c r="H71" s="36"/>
      <c r="I71" s="34" t="s">
        <v>40</v>
      </c>
      <c r="J71" s="34" t="s">
        <v>44</v>
      </c>
      <c r="K71" s="34"/>
      <c r="L71" s="40">
        <f t="shared" si="1"/>
        <v>4</v>
      </c>
    </row>
    <row r="72" ht="15" customHeight="1" spans="1:12">
      <c r="A72" s="21"/>
      <c r="B72" s="9">
        <v>6</v>
      </c>
      <c r="C72" s="10" t="s">
        <v>170</v>
      </c>
      <c r="D72" s="34"/>
      <c r="E72" s="36" t="s">
        <v>48</v>
      </c>
      <c r="F72" s="34" t="s">
        <v>81</v>
      </c>
      <c r="G72" s="34"/>
      <c r="H72" s="36"/>
      <c r="I72" s="34" t="s">
        <v>33</v>
      </c>
      <c r="J72" s="34"/>
      <c r="K72" s="34" t="s">
        <v>74</v>
      </c>
      <c r="L72" s="40">
        <f t="shared" si="1"/>
        <v>4</v>
      </c>
    </row>
    <row r="73" ht="15" customHeight="1" spans="1:12">
      <c r="A73" s="21"/>
      <c r="B73" s="9">
        <v>7</v>
      </c>
      <c r="C73" s="10" t="s">
        <v>171</v>
      </c>
      <c r="D73" s="34"/>
      <c r="E73" s="36" t="s">
        <v>89</v>
      </c>
      <c r="F73" s="34"/>
      <c r="G73" s="34" t="s">
        <v>45</v>
      </c>
      <c r="H73" s="36"/>
      <c r="I73" s="34" t="s">
        <v>38</v>
      </c>
      <c r="J73" s="34" t="s">
        <v>42</v>
      </c>
      <c r="K73" s="34"/>
      <c r="L73" s="40">
        <f t="shared" si="1"/>
        <v>4</v>
      </c>
    </row>
    <row r="74" ht="15" customHeight="1" spans="1:12">
      <c r="A74" s="21"/>
      <c r="B74" s="9">
        <v>8</v>
      </c>
      <c r="C74" s="10" t="s">
        <v>172</v>
      </c>
      <c r="D74" s="34"/>
      <c r="E74" s="36" t="s">
        <v>85</v>
      </c>
      <c r="F74" s="34" t="s">
        <v>26</v>
      </c>
      <c r="G74" s="34"/>
      <c r="H74" s="36"/>
      <c r="I74" s="34" t="s">
        <v>114</v>
      </c>
      <c r="J74" s="34" t="s">
        <v>28</v>
      </c>
      <c r="K74" s="34"/>
      <c r="L74" s="40">
        <f t="shared" si="1"/>
        <v>4</v>
      </c>
    </row>
    <row r="75" ht="15" customHeight="1" spans="1:12">
      <c r="A75" s="21"/>
      <c r="B75" s="9">
        <v>9</v>
      </c>
      <c r="C75" s="10" t="s">
        <v>173</v>
      </c>
      <c r="D75" s="34"/>
      <c r="E75" s="36" t="s">
        <v>37</v>
      </c>
      <c r="F75" s="34"/>
      <c r="G75" s="34" t="s">
        <v>78</v>
      </c>
      <c r="H75" s="36"/>
      <c r="I75" s="34" t="s">
        <v>47</v>
      </c>
      <c r="J75" s="34" t="s">
        <v>36</v>
      </c>
      <c r="K75" s="34"/>
      <c r="L75" s="40">
        <f t="shared" si="1"/>
        <v>4</v>
      </c>
    </row>
    <row r="76" ht="15" customHeight="1" spans="1:12">
      <c r="A76" s="21"/>
      <c r="B76" s="9">
        <v>10</v>
      </c>
      <c r="C76" s="10" t="s">
        <v>174</v>
      </c>
      <c r="D76" s="34" t="s">
        <v>65</v>
      </c>
      <c r="E76" s="36"/>
      <c r="F76" s="34" t="s">
        <v>71</v>
      </c>
      <c r="G76" s="34" t="s">
        <v>66</v>
      </c>
      <c r="H76" s="36"/>
      <c r="I76" s="34" t="s">
        <v>97</v>
      </c>
      <c r="J76" s="34"/>
      <c r="K76" s="34" t="s">
        <v>55</v>
      </c>
      <c r="L76" s="40">
        <f t="shared" si="1"/>
        <v>5</v>
      </c>
    </row>
    <row r="77" ht="15" customHeight="1" spans="1:12">
      <c r="A77" s="9" t="s">
        <v>175</v>
      </c>
      <c r="B77" s="9">
        <v>1</v>
      </c>
      <c r="C77" s="10" t="s">
        <v>176</v>
      </c>
      <c r="D77" s="34"/>
      <c r="E77" s="36" t="s">
        <v>33</v>
      </c>
      <c r="F77" s="34" t="s">
        <v>58</v>
      </c>
      <c r="G77" s="34"/>
      <c r="H77" s="36"/>
      <c r="I77" s="34" t="s">
        <v>48</v>
      </c>
      <c r="J77" s="34" t="s">
        <v>121</v>
      </c>
      <c r="K77" s="34"/>
      <c r="L77" s="40">
        <f t="shared" si="1"/>
        <v>4</v>
      </c>
    </row>
    <row r="78" ht="15" customHeight="1" spans="1:12">
      <c r="A78" s="9"/>
      <c r="B78" s="9">
        <v>2</v>
      </c>
      <c r="C78" s="10" t="s">
        <v>177</v>
      </c>
      <c r="D78" s="34" t="s">
        <v>37</v>
      </c>
      <c r="E78" s="36"/>
      <c r="F78" s="34" t="s">
        <v>66</v>
      </c>
      <c r="G78" s="34" t="s">
        <v>80</v>
      </c>
      <c r="H78" s="36"/>
      <c r="I78" s="34" t="s">
        <v>65</v>
      </c>
      <c r="J78" s="34"/>
      <c r="K78" s="34" t="s">
        <v>34</v>
      </c>
      <c r="L78" s="40">
        <f t="shared" si="1"/>
        <v>5</v>
      </c>
    </row>
    <row r="79" ht="15" customHeight="1" spans="1:12">
      <c r="A79" s="9"/>
      <c r="B79" s="9">
        <v>3</v>
      </c>
      <c r="C79" s="10" t="s">
        <v>178</v>
      </c>
      <c r="D79" s="34"/>
      <c r="E79" s="36" t="s">
        <v>55</v>
      </c>
      <c r="F79" s="34" t="s">
        <v>78</v>
      </c>
      <c r="G79" s="34"/>
      <c r="H79" s="36"/>
      <c r="I79" s="34"/>
      <c r="J79" s="34" t="s">
        <v>23</v>
      </c>
      <c r="K79" s="34" t="s">
        <v>50</v>
      </c>
      <c r="L79" s="40">
        <f t="shared" si="1"/>
        <v>4</v>
      </c>
    </row>
    <row r="80" ht="15" customHeight="1" spans="1:12">
      <c r="A80" s="9"/>
      <c r="B80" s="9">
        <v>4</v>
      </c>
      <c r="C80" s="10" t="s">
        <v>179</v>
      </c>
      <c r="D80" s="34" t="s">
        <v>28</v>
      </c>
      <c r="E80" s="36"/>
      <c r="F80" s="34" t="s">
        <v>49</v>
      </c>
      <c r="G80" s="34"/>
      <c r="H80" s="36"/>
      <c r="I80" s="34" t="s">
        <v>71</v>
      </c>
      <c r="J80" s="37"/>
      <c r="K80" s="34" t="s">
        <v>53</v>
      </c>
      <c r="L80" s="40">
        <f t="shared" si="1"/>
        <v>4</v>
      </c>
    </row>
    <row r="81" ht="15" customHeight="1" spans="1:12">
      <c r="A81" s="9"/>
      <c r="B81" s="9">
        <v>5</v>
      </c>
      <c r="C81" s="10" t="s">
        <v>180</v>
      </c>
      <c r="D81" s="34"/>
      <c r="E81" s="36" t="s">
        <v>42</v>
      </c>
      <c r="F81" s="34" t="s">
        <v>69</v>
      </c>
      <c r="G81" s="34"/>
      <c r="H81" s="36"/>
      <c r="I81" s="34" t="s">
        <v>59</v>
      </c>
      <c r="J81" s="34" t="s">
        <v>45</v>
      </c>
      <c r="K81" s="34"/>
      <c r="L81" s="40">
        <f t="shared" si="1"/>
        <v>4</v>
      </c>
    </row>
    <row r="82" ht="15" customHeight="1" spans="1:12">
      <c r="A82" s="9"/>
      <c r="B82" s="9">
        <v>6</v>
      </c>
      <c r="C82" s="10" t="s">
        <v>181</v>
      </c>
      <c r="D82" s="34"/>
      <c r="E82" s="36"/>
      <c r="F82" s="34" t="s">
        <v>85</v>
      </c>
      <c r="G82" s="34"/>
      <c r="H82" s="36"/>
      <c r="I82" s="34" t="s">
        <v>26</v>
      </c>
      <c r="J82" s="34"/>
      <c r="K82" s="34" t="s">
        <v>40</v>
      </c>
      <c r="L82" s="40">
        <f t="shared" si="1"/>
        <v>3</v>
      </c>
    </row>
    <row r="83" ht="15" customHeight="1" spans="1:12">
      <c r="A83" s="9"/>
      <c r="B83" s="9">
        <v>7</v>
      </c>
      <c r="C83" s="10" t="s">
        <v>182</v>
      </c>
      <c r="D83" s="34"/>
      <c r="E83" s="36" t="s">
        <v>31</v>
      </c>
      <c r="F83" s="34" t="s">
        <v>41</v>
      </c>
      <c r="G83" s="34"/>
      <c r="H83" s="36"/>
      <c r="I83" s="34"/>
      <c r="J83" s="34" t="s">
        <v>81</v>
      </c>
      <c r="K83" s="34" t="s">
        <v>89</v>
      </c>
      <c r="L83" s="40">
        <f t="shared" si="1"/>
        <v>4</v>
      </c>
    </row>
    <row r="84" ht="15" customHeight="1" spans="1:12">
      <c r="A84" s="9"/>
      <c r="B84" s="9">
        <v>8</v>
      </c>
      <c r="C84" s="10" t="s">
        <v>183</v>
      </c>
      <c r="D84" s="34"/>
      <c r="E84" s="36" t="s">
        <v>114</v>
      </c>
      <c r="F84" s="34" t="s">
        <v>56</v>
      </c>
      <c r="G84" s="34"/>
      <c r="H84" s="36"/>
      <c r="I84" s="34" t="s">
        <v>90</v>
      </c>
      <c r="J84" s="34" t="s">
        <v>32</v>
      </c>
      <c r="K84" s="34"/>
      <c r="L84" s="40">
        <f t="shared" si="1"/>
        <v>4</v>
      </c>
    </row>
    <row r="85" ht="15" customHeight="1" spans="1:12">
      <c r="A85" s="9"/>
      <c r="B85" s="9">
        <v>9</v>
      </c>
      <c r="C85" s="10" t="s">
        <v>184</v>
      </c>
      <c r="D85" s="34"/>
      <c r="E85" s="36"/>
      <c r="F85" s="34" t="s">
        <v>36</v>
      </c>
      <c r="G85" s="34" t="s">
        <v>64</v>
      </c>
      <c r="H85" s="36"/>
      <c r="I85" s="34"/>
      <c r="J85" s="34" t="s">
        <v>47</v>
      </c>
      <c r="K85" s="34" t="s">
        <v>135</v>
      </c>
      <c r="L85" s="40">
        <f t="shared" si="1"/>
        <v>4</v>
      </c>
    </row>
    <row r="86" ht="15" customHeight="1" spans="1:12">
      <c r="A86" s="9"/>
      <c r="B86" s="9">
        <v>10</v>
      </c>
      <c r="C86" s="10" t="s">
        <v>185</v>
      </c>
      <c r="D86" s="34"/>
      <c r="E86" s="36" t="s">
        <v>42</v>
      </c>
      <c r="F86" s="34"/>
      <c r="G86" s="34" t="s">
        <v>80</v>
      </c>
      <c r="H86" s="36"/>
      <c r="I86" s="34" t="s">
        <v>26</v>
      </c>
      <c r="J86" s="34"/>
      <c r="K86" s="34" t="s">
        <v>50</v>
      </c>
      <c r="L86" s="40">
        <f t="shared" si="1"/>
        <v>4</v>
      </c>
    </row>
    <row r="87" ht="15" customHeight="1" spans="1:12">
      <c r="A87" s="9" t="s">
        <v>186</v>
      </c>
      <c r="B87" s="9">
        <v>1</v>
      </c>
      <c r="C87" s="10" t="s">
        <v>187</v>
      </c>
      <c r="D87" s="34"/>
      <c r="E87" s="36" t="s">
        <v>40</v>
      </c>
      <c r="F87" s="34"/>
      <c r="G87" s="34"/>
      <c r="H87" s="36"/>
      <c r="I87" s="41" t="s">
        <v>41</v>
      </c>
      <c r="J87" s="34" t="s">
        <v>26</v>
      </c>
      <c r="K87" s="34"/>
      <c r="L87" s="40">
        <f t="shared" si="1"/>
        <v>3</v>
      </c>
    </row>
    <row r="88" ht="15" customHeight="1" spans="1:12">
      <c r="A88" s="9"/>
      <c r="B88" s="9">
        <v>2</v>
      </c>
      <c r="C88" s="10" t="s">
        <v>188</v>
      </c>
      <c r="D88" s="34" t="s">
        <v>29</v>
      </c>
      <c r="E88" s="36"/>
      <c r="F88" s="34" t="s">
        <v>27</v>
      </c>
      <c r="G88" s="34" t="s">
        <v>75</v>
      </c>
      <c r="H88" s="36"/>
      <c r="I88" s="34"/>
      <c r="J88" s="34" t="s">
        <v>53</v>
      </c>
      <c r="K88" s="34"/>
      <c r="L88" s="40">
        <f t="shared" si="1"/>
        <v>4</v>
      </c>
    </row>
    <row r="89" ht="15" customHeight="1" spans="1:12">
      <c r="A89" s="9"/>
      <c r="B89" s="9">
        <v>3</v>
      </c>
      <c r="C89" s="10" t="s">
        <v>189</v>
      </c>
      <c r="D89" s="34" t="s">
        <v>42</v>
      </c>
      <c r="E89" s="36"/>
      <c r="F89" s="34" t="s">
        <v>38</v>
      </c>
      <c r="G89" s="34"/>
      <c r="H89" s="36"/>
      <c r="I89" s="34" t="s">
        <v>24</v>
      </c>
      <c r="J89" s="34"/>
      <c r="K89" s="34" t="s">
        <v>36</v>
      </c>
      <c r="L89" s="40">
        <f t="shared" si="1"/>
        <v>4</v>
      </c>
    </row>
    <row r="90" ht="15" customHeight="1" spans="1:12">
      <c r="A90" s="9"/>
      <c r="B90" s="9">
        <v>4</v>
      </c>
      <c r="C90" s="10" t="s">
        <v>190</v>
      </c>
      <c r="D90" s="34" t="s">
        <v>56</v>
      </c>
      <c r="E90" s="36"/>
      <c r="F90" s="34" t="s">
        <v>50</v>
      </c>
      <c r="G90" s="34" t="s">
        <v>59</v>
      </c>
      <c r="H90" s="36"/>
      <c r="I90" s="34"/>
      <c r="J90" s="34" t="s">
        <v>31</v>
      </c>
      <c r="K90" s="34"/>
      <c r="L90" s="40">
        <f t="shared" si="1"/>
        <v>4</v>
      </c>
    </row>
    <row r="91" ht="15" customHeight="1" spans="1:12">
      <c r="A91" s="13" t="s">
        <v>191</v>
      </c>
      <c r="B91" s="9">
        <v>1</v>
      </c>
      <c r="C91" s="10" t="s">
        <v>192</v>
      </c>
      <c r="D91" s="34" t="s">
        <v>32</v>
      </c>
      <c r="E91" s="36" t="s">
        <v>80</v>
      </c>
      <c r="F91" s="34"/>
      <c r="G91" s="34" t="s">
        <v>265</v>
      </c>
      <c r="H91" s="36"/>
      <c r="I91" s="34"/>
      <c r="J91" s="34" t="s">
        <v>60</v>
      </c>
      <c r="K91" s="34"/>
      <c r="L91" s="40">
        <f t="shared" si="1"/>
        <v>4</v>
      </c>
    </row>
    <row r="92" ht="15" customHeight="1" spans="1:12">
      <c r="A92" s="14"/>
      <c r="B92" s="9">
        <v>2</v>
      </c>
      <c r="C92" s="10" t="s">
        <v>193</v>
      </c>
      <c r="D92" s="34" t="s">
        <v>140</v>
      </c>
      <c r="E92" s="36"/>
      <c r="F92" s="34" t="s">
        <v>115</v>
      </c>
      <c r="G92" s="34"/>
      <c r="H92" s="36"/>
      <c r="I92" s="34" t="s">
        <v>195</v>
      </c>
      <c r="J92" s="34" t="s">
        <v>114</v>
      </c>
      <c r="K92" s="34"/>
      <c r="L92" s="40">
        <f t="shared" si="1"/>
        <v>4</v>
      </c>
    </row>
    <row r="93" ht="15" customHeight="1" spans="1:12">
      <c r="A93" s="14"/>
      <c r="B93" s="9">
        <v>3</v>
      </c>
      <c r="C93" s="10" t="s">
        <v>196</v>
      </c>
      <c r="E93" s="34" t="s">
        <v>266</v>
      </c>
      <c r="F93" s="34"/>
      <c r="G93" s="34" t="s">
        <v>199</v>
      </c>
      <c r="H93" s="36"/>
      <c r="I93" s="34"/>
      <c r="J93" s="34" t="s">
        <v>227</v>
      </c>
      <c r="K93" s="34" t="s">
        <v>208</v>
      </c>
      <c r="L93" s="40">
        <f t="shared" si="1"/>
        <v>4</v>
      </c>
    </row>
    <row r="94" ht="15" customHeight="1" spans="1:12">
      <c r="A94" s="14"/>
      <c r="B94" s="9">
        <v>4</v>
      </c>
      <c r="C94" s="10" t="s">
        <v>200</v>
      </c>
      <c r="D94" s="34"/>
      <c r="E94" s="36" t="s">
        <v>267</v>
      </c>
      <c r="F94" s="34"/>
      <c r="G94" s="34" t="s">
        <v>114</v>
      </c>
      <c r="H94" s="36"/>
      <c r="I94" s="34" t="s">
        <v>135</v>
      </c>
      <c r="J94" s="34" t="s">
        <v>268</v>
      </c>
      <c r="K94" s="34"/>
      <c r="L94" s="40">
        <f t="shared" si="1"/>
        <v>4</v>
      </c>
    </row>
    <row r="95" ht="15" customHeight="1" spans="1:12">
      <c r="A95" s="14"/>
      <c r="B95" s="9">
        <v>5</v>
      </c>
      <c r="C95" s="10" t="s">
        <v>201</v>
      </c>
      <c r="D95" s="34" t="s">
        <v>31</v>
      </c>
      <c r="E95" s="36"/>
      <c r="F95" s="34" t="s">
        <v>252</v>
      </c>
      <c r="G95" s="34" t="s">
        <v>269</v>
      </c>
      <c r="H95" s="36"/>
      <c r="I95" s="34"/>
      <c r="J95" s="34"/>
      <c r="K95" s="34"/>
      <c r="L95" s="40">
        <f t="shared" si="1"/>
        <v>3</v>
      </c>
    </row>
    <row r="96" ht="15" customHeight="1" spans="1:12">
      <c r="A96" s="22" t="s">
        <v>202</v>
      </c>
      <c r="B96" s="9">
        <v>1</v>
      </c>
      <c r="C96" s="10" t="s">
        <v>203</v>
      </c>
      <c r="D96" s="34"/>
      <c r="E96" s="36" t="s">
        <v>266</v>
      </c>
      <c r="F96" s="41" t="s">
        <v>270</v>
      </c>
      <c r="G96" s="34" t="s">
        <v>199</v>
      </c>
      <c r="H96" s="36"/>
      <c r="I96" s="34" t="s">
        <v>195</v>
      </c>
      <c r="J96" s="34"/>
      <c r="K96" s="34"/>
      <c r="L96" s="40">
        <f t="shared" si="1"/>
        <v>4</v>
      </c>
    </row>
    <row r="97" ht="15" customHeight="1" spans="1:12">
      <c r="A97" s="23"/>
      <c r="B97" s="9">
        <v>2</v>
      </c>
      <c r="C97" s="10" t="s">
        <v>204</v>
      </c>
      <c r="E97" s="34"/>
      <c r="F97" s="34" t="s">
        <v>42</v>
      </c>
      <c r="G97" s="34" t="s">
        <v>48</v>
      </c>
      <c r="H97" s="36"/>
      <c r="I97" s="34"/>
      <c r="J97" s="34"/>
      <c r="K97" s="34" t="s">
        <v>22</v>
      </c>
      <c r="L97" s="40">
        <f t="shared" si="1"/>
        <v>3</v>
      </c>
    </row>
    <row r="98" ht="15" customHeight="1" spans="1:12">
      <c r="A98" s="23"/>
      <c r="B98" s="9">
        <v>3</v>
      </c>
      <c r="C98" s="10" t="s">
        <v>205</v>
      </c>
      <c r="D98" s="34" t="s">
        <v>76</v>
      </c>
      <c r="E98" s="36" t="s">
        <v>87</v>
      </c>
      <c r="F98" s="34"/>
      <c r="G98" s="34" t="s">
        <v>112</v>
      </c>
      <c r="H98" s="36"/>
      <c r="I98" s="34" t="s">
        <v>37</v>
      </c>
      <c r="J98" s="34"/>
      <c r="K98" s="34" t="s">
        <v>66</v>
      </c>
      <c r="L98" s="40">
        <f t="shared" si="1"/>
        <v>5</v>
      </c>
    </row>
    <row r="99" ht="15" customHeight="1" spans="1:12">
      <c r="A99" s="23"/>
      <c r="B99" s="9">
        <v>4</v>
      </c>
      <c r="C99" s="10" t="s">
        <v>206</v>
      </c>
      <c r="D99" s="34"/>
      <c r="E99" s="36" t="s">
        <v>271</v>
      </c>
      <c r="F99" s="34" t="s">
        <v>67</v>
      </c>
      <c r="G99" s="34" t="s">
        <v>24</v>
      </c>
      <c r="H99" s="36"/>
      <c r="I99" s="34"/>
      <c r="J99" s="34"/>
      <c r="K99" s="34" t="s">
        <v>75</v>
      </c>
      <c r="L99" s="40">
        <f t="shared" si="1"/>
        <v>4</v>
      </c>
    </row>
    <row r="100" ht="15" customHeight="1" spans="1:12">
      <c r="A100" s="23"/>
      <c r="B100" s="9">
        <v>5</v>
      </c>
      <c r="C100" s="10" t="s">
        <v>207</v>
      </c>
      <c r="D100" s="34"/>
      <c r="E100" s="36" t="s">
        <v>272</v>
      </c>
      <c r="F100" s="34"/>
      <c r="G100" s="34" t="s">
        <v>273</v>
      </c>
      <c r="H100" s="36"/>
      <c r="I100" s="34"/>
      <c r="J100" s="34" t="s">
        <v>114</v>
      </c>
      <c r="K100" s="34" t="s">
        <v>208</v>
      </c>
      <c r="L100" s="40">
        <f t="shared" si="1"/>
        <v>4</v>
      </c>
    </row>
    <row r="101" ht="15" customHeight="1" spans="1:12">
      <c r="A101" s="24"/>
      <c r="B101" s="9">
        <v>6</v>
      </c>
      <c r="C101" s="10" t="s">
        <v>209</v>
      </c>
      <c r="D101" s="43"/>
      <c r="E101" s="34" t="s">
        <v>245</v>
      </c>
      <c r="F101" s="41" t="s">
        <v>59</v>
      </c>
      <c r="G101" s="34"/>
      <c r="H101" s="36"/>
      <c r="I101" s="34"/>
      <c r="J101" s="34" t="s">
        <v>274</v>
      </c>
      <c r="K101" s="34"/>
      <c r="L101" s="40">
        <f t="shared" si="1"/>
        <v>3</v>
      </c>
    </row>
    <row r="102" ht="15" customHeight="1" spans="1:12">
      <c r="A102" s="9" t="s">
        <v>210</v>
      </c>
      <c r="B102" s="9">
        <v>1</v>
      </c>
      <c r="C102" s="10" t="s">
        <v>211</v>
      </c>
      <c r="D102" s="34" t="s">
        <v>40</v>
      </c>
      <c r="E102" s="36"/>
      <c r="F102" s="34" t="s">
        <v>65</v>
      </c>
      <c r="G102" s="34" t="s">
        <v>38</v>
      </c>
      <c r="H102" s="36"/>
      <c r="I102" s="36"/>
      <c r="J102" s="34"/>
      <c r="K102" s="34" t="s">
        <v>59</v>
      </c>
      <c r="L102" s="40">
        <f t="shared" si="1"/>
        <v>4</v>
      </c>
    </row>
    <row r="103" ht="15" customHeight="1" spans="1:12">
      <c r="A103" s="9"/>
      <c r="B103" s="9">
        <v>2</v>
      </c>
      <c r="C103" s="10" t="s">
        <v>212</v>
      </c>
      <c r="D103" s="34" t="s">
        <v>92</v>
      </c>
      <c r="E103" s="36"/>
      <c r="F103" s="34"/>
      <c r="G103" s="34" t="s">
        <v>108</v>
      </c>
      <c r="H103" s="36"/>
      <c r="I103" s="34"/>
      <c r="J103" s="34" t="s">
        <v>56</v>
      </c>
      <c r="K103" s="34"/>
      <c r="L103" s="40">
        <f t="shared" si="1"/>
        <v>3</v>
      </c>
    </row>
    <row r="104" ht="15" customHeight="1" spans="1:12">
      <c r="A104" s="9"/>
      <c r="B104" s="9">
        <v>3</v>
      </c>
      <c r="C104" s="10" t="s">
        <v>213</v>
      </c>
      <c r="D104" s="34" t="s">
        <v>62</v>
      </c>
      <c r="E104" s="36"/>
      <c r="F104" s="34" t="s">
        <v>70</v>
      </c>
      <c r="G104" s="34" t="s">
        <v>86</v>
      </c>
      <c r="H104" s="36"/>
      <c r="I104" s="34"/>
      <c r="J104" s="34"/>
      <c r="K104" s="34" t="s">
        <v>42</v>
      </c>
      <c r="L104" s="40">
        <f t="shared" si="1"/>
        <v>4</v>
      </c>
    </row>
    <row r="105" ht="15" customHeight="1" spans="1:12">
      <c r="A105" s="9"/>
      <c r="B105" s="9">
        <v>4</v>
      </c>
      <c r="C105" s="10" t="s">
        <v>214</v>
      </c>
      <c r="D105" s="34"/>
      <c r="E105" s="36" t="s">
        <v>108</v>
      </c>
      <c r="F105" s="34" t="s">
        <v>91</v>
      </c>
      <c r="G105" s="34" t="s">
        <v>275</v>
      </c>
      <c r="H105" s="36"/>
      <c r="I105" s="34"/>
      <c r="J105" s="34"/>
      <c r="K105" s="34" t="s">
        <v>270</v>
      </c>
      <c r="L105" s="40">
        <f t="shared" si="1"/>
        <v>4</v>
      </c>
    </row>
    <row r="106" ht="15" customHeight="1" spans="1:12">
      <c r="A106" s="9"/>
      <c r="B106" s="9">
        <v>5</v>
      </c>
      <c r="C106" s="10" t="s">
        <v>215</v>
      </c>
      <c r="D106" s="34"/>
      <c r="E106" s="36" t="s">
        <v>32</v>
      </c>
      <c r="F106" s="34"/>
      <c r="G106" s="34"/>
      <c r="H106" s="36"/>
      <c r="I106" s="34" t="s">
        <v>60</v>
      </c>
      <c r="J106" s="34"/>
      <c r="K106" s="34" t="s">
        <v>276</v>
      </c>
      <c r="L106" s="40">
        <f t="shared" si="1"/>
        <v>3</v>
      </c>
    </row>
    <row r="107" ht="15" customHeight="1" spans="1:12">
      <c r="A107" s="9" t="s">
        <v>216</v>
      </c>
      <c r="B107" s="9">
        <v>1</v>
      </c>
      <c r="C107" s="10" t="s">
        <v>217</v>
      </c>
      <c r="D107" s="34"/>
      <c r="E107" s="36"/>
      <c r="F107" s="34" t="s">
        <v>121</v>
      </c>
      <c r="G107" s="34" t="s">
        <v>277</v>
      </c>
      <c r="H107" s="36"/>
      <c r="I107" s="34"/>
      <c r="J107" s="34"/>
      <c r="K107" s="34" t="s">
        <v>65</v>
      </c>
      <c r="L107" s="40">
        <f t="shared" si="1"/>
        <v>3</v>
      </c>
    </row>
    <row r="108" ht="15" customHeight="1" spans="1:13">
      <c r="A108" s="40"/>
      <c r="B108" s="40"/>
      <c r="C108" s="40"/>
      <c r="D108" s="40">
        <f>COUNTIFS(D5:D107,"&gt;""")</f>
        <v>58</v>
      </c>
      <c r="E108" s="40">
        <f>COUNTIFS(E5:E107,"&gt;""")</f>
        <v>59</v>
      </c>
      <c r="F108" s="40">
        <f>COUNTIFS(F5:F107,"&gt;""")</f>
        <v>59</v>
      </c>
      <c r="G108" s="40">
        <f>COUNTIFS(G5:G107,"&gt;""")</f>
        <v>59</v>
      </c>
      <c r="H108" s="36"/>
      <c r="I108" s="40">
        <f>COUNTIFS(I5:I107,"&gt;""")</f>
        <v>59</v>
      </c>
      <c r="J108" s="40">
        <f>COUNTIFS(J5:J107,"&gt;""")</f>
        <v>59</v>
      </c>
      <c r="K108" s="40">
        <f>COUNTIFS(K5:K107,"&gt;""")</f>
        <v>53</v>
      </c>
      <c r="L108" s="40">
        <f>COUNTIFS(L5:L106,"&gt;""")</f>
        <v>0</v>
      </c>
      <c r="M108" s="48"/>
    </row>
    <row r="109" ht="28.5" customHeight="1" spans="1:12">
      <c r="A109" s="44"/>
      <c r="B109" s="45"/>
      <c r="C109" s="46" t="s">
        <v>261</v>
      </c>
      <c r="D109" s="47"/>
      <c r="E109" s="47"/>
      <c r="F109" s="47"/>
      <c r="G109" s="47"/>
      <c r="H109" s="47"/>
      <c r="I109" s="47"/>
      <c r="J109" s="47"/>
      <c r="K109" s="49"/>
      <c r="L109" s="45"/>
    </row>
    <row r="110" spans="3:9">
      <c r="C110"/>
      <c r="G110"/>
      <c r="H110"/>
      <c r="I110"/>
    </row>
    <row r="116" spans="5:5">
      <c r="E116" s="1"/>
    </row>
  </sheetData>
  <mergeCells count="16">
    <mergeCell ref="A1:L1"/>
    <mergeCell ref="A2:L2"/>
    <mergeCell ref="C109:K109"/>
    <mergeCell ref="A5:A20"/>
    <mergeCell ref="A21:A36"/>
    <mergeCell ref="A37:A52"/>
    <mergeCell ref="A54:A56"/>
    <mergeCell ref="A57:A62"/>
    <mergeCell ref="A63:A66"/>
    <mergeCell ref="A67:A76"/>
    <mergeCell ref="A77:A86"/>
    <mergeCell ref="A87:A90"/>
    <mergeCell ref="A91:A95"/>
    <mergeCell ref="A96:A101"/>
    <mergeCell ref="A102:A106"/>
    <mergeCell ref="L3:L4"/>
  </mergeCells>
  <conditionalFormatting sqref="D5:D108">
    <cfRule type="duplicateValues" dxfId="1" priority="1"/>
  </conditionalFormatting>
  <conditionalFormatting sqref="E5:E108">
    <cfRule type="duplicateValues" dxfId="1" priority="2"/>
  </conditionalFormatting>
  <conditionalFormatting sqref="F5:F108">
    <cfRule type="duplicateValues" dxfId="1" priority="3"/>
  </conditionalFormatting>
  <conditionalFormatting sqref="G5:G108">
    <cfRule type="duplicateValues" dxfId="1" priority="4"/>
  </conditionalFormatting>
  <conditionalFormatting sqref="I5:I108">
    <cfRule type="duplicateValues" dxfId="1" priority="5"/>
  </conditionalFormatting>
  <conditionalFormatting sqref="J5:J108">
    <cfRule type="duplicateValues" dxfId="1" priority="6"/>
  </conditionalFormatting>
  <conditionalFormatting sqref="K5:K108">
    <cfRule type="duplicateValues" dxfId="1" priority="7"/>
  </conditionalFormatting>
  <conditionalFormatting sqref="B5:L108">
    <cfRule type="expression" dxfId="2" priority="8">
      <formula>MOD(ROW(),2)=0</formula>
    </cfRule>
  </conditionalFormatting>
  <pageMargins left="0.2" right="0.2" top="0.25" bottom="0.2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7"/>
  <sheetViews>
    <sheetView zoomScale="140" zoomScaleNormal="140" workbookViewId="0">
      <pane xSplit="3" ySplit="3" topLeftCell="D95" activePane="bottomRight" state="frozen"/>
      <selection/>
      <selection pane="topRight"/>
      <selection pane="bottomLeft"/>
      <selection pane="bottomRight" activeCell="E47" sqref="E47"/>
    </sheetView>
  </sheetViews>
  <sheetFormatPr defaultColWidth="9.42727272727273" defaultRowHeight="14.1" customHeight="1"/>
  <cols>
    <col min="2" max="2" width="7.70909090909091" customWidth="1"/>
    <col min="3" max="3" width="7.70909090909091" style="1" customWidth="1"/>
    <col min="8" max="8" width="9.42727272727273" style="2"/>
  </cols>
  <sheetData>
    <row r="1" customHeight="1" spans="1:9">
      <c r="A1" s="3"/>
      <c r="B1" s="3"/>
      <c r="C1" s="3"/>
      <c r="D1" s="3"/>
      <c r="E1" s="3"/>
      <c r="F1" s="3"/>
      <c r="G1" s="3"/>
      <c r="H1" s="3"/>
      <c r="I1" s="18"/>
    </row>
    <row r="2" customHeight="1" spans="1:9">
      <c r="A2" s="4" t="s">
        <v>278</v>
      </c>
      <c r="B2" s="5"/>
      <c r="C2" s="5"/>
      <c r="D2" s="5"/>
      <c r="E2" s="5"/>
      <c r="F2" s="5"/>
      <c r="G2" s="5"/>
      <c r="H2" s="5"/>
      <c r="I2" s="19"/>
    </row>
    <row r="3" s="1" customFormat="1" customHeight="1" spans="1:9">
      <c r="A3" s="6" t="s">
        <v>2</v>
      </c>
      <c r="B3" s="6" t="s">
        <v>3</v>
      </c>
      <c r="C3" s="7" t="s">
        <v>4</v>
      </c>
      <c r="D3" s="8" t="s">
        <v>279</v>
      </c>
      <c r="E3" s="8" t="s">
        <v>280</v>
      </c>
      <c r="F3" s="8" t="s">
        <v>281</v>
      </c>
      <c r="G3" s="8" t="s">
        <v>282</v>
      </c>
      <c r="H3" s="8" t="s">
        <v>283</v>
      </c>
      <c r="I3" s="20" t="s">
        <v>12</v>
      </c>
    </row>
    <row r="4" customHeight="1" spans="1:9">
      <c r="A4" s="9" t="s">
        <v>20</v>
      </c>
      <c r="B4" s="9">
        <v>1</v>
      </c>
      <c r="C4" s="10" t="s">
        <v>21</v>
      </c>
      <c r="D4" s="11">
        <f>Sun!L5</f>
        <v>3</v>
      </c>
      <c r="E4" s="12">
        <f>Mon!L5</f>
        <v>3</v>
      </c>
      <c r="F4" s="12">
        <f>Tues!L5</f>
        <v>3</v>
      </c>
      <c r="G4" s="12">
        <f>Wed!L5</f>
        <v>3</v>
      </c>
      <c r="H4" s="12">
        <f>Thurs!L5</f>
        <v>3</v>
      </c>
      <c r="I4" s="18">
        <f t="shared" ref="I4:I70" si="0">SUM(D4:H4)</f>
        <v>15</v>
      </c>
    </row>
    <row r="5" customHeight="1" spans="1:9">
      <c r="A5" s="9"/>
      <c r="B5" s="9">
        <v>2</v>
      </c>
      <c r="C5" s="10" t="s">
        <v>25</v>
      </c>
      <c r="D5" s="11">
        <f>Sun!L6</f>
        <v>4</v>
      </c>
      <c r="E5" s="12">
        <f>Mon!L6</f>
        <v>4</v>
      </c>
      <c r="F5" s="12">
        <f>Tues!L6</f>
        <v>4</v>
      </c>
      <c r="G5" s="12">
        <f>Wed!L6</f>
        <v>4</v>
      </c>
      <c r="H5" s="12">
        <f>Thurs!L6</f>
        <v>4</v>
      </c>
      <c r="I5" s="18">
        <f t="shared" si="0"/>
        <v>20</v>
      </c>
    </row>
    <row r="6" customHeight="1" spans="1:9">
      <c r="A6" s="9"/>
      <c r="B6" s="9">
        <v>3</v>
      </c>
      <c r="C6" s="10" t="s">
        <v>30</v>
      </c>
      <c r="D6" s="11">
        <f>Sun!L7</f>
        <v>4</v>
      </c>
      <c r="E6" s="12">
        <f>Mon!L7</f>
        <v>4</v>
      </c>
      <c r="F6" s="12">
        <f>Tues!L7</f>
        <v>4</v>
      </c>
      <c r="G6" s="12">
        <f>Wed!L7</f>
        <v>4</v>
      </c>
      <c r="H6" s="12">
        <f>Thurs!L7</f>
        <v>4</v>
      </c>
      <c r="I6" s="18">
        <f t="shared" si="0"/>
        <v>20</v>
      </c>
    </row>
    <row r="7" customHeight="1" spans="1:9">
      <c r="A7" s="9"/>
      <c r="B7" s="9">
        <v>4</v>
      </c>
      <c r="C7" s="10" t="s">
        <v>35</v>
      </c>
      <c r="D7" s="11">
        <f>Sun!L8</f>
        <v>3</v>
      </c>
      <c r="E7" s="12">
        <f>Mon!L8</f>
        <v>4</v>
      </c>
      <c r="F7" s="12">
        <f>Tues!L8</f>
        <v>4</v>
      </c>
      <c r="G7" s="12">
        <f>Wed!L8</f>
        <v>5</v>
      </c>
      <c r="H7" s="12">
        <f>Thurs!L8</f>
        <v>4</v>
      </c>
      <c r="I7" s="18">
        <f t="shared" si="0"/>
        <v>20</v>
      </c>
    </row>
    <row r="8" customHeight="1" spans="1:9">
      <c r="A8" s="9"/>
      <c r="B8" s="9">
        <v>5</v>
      </c>
      <c r="C8" s="10" t="s">
        <v>39</v>
      </c>
      <c r="D8" s="11">
        <f>Sun!L9</f>
        <v>3</v>
      </c>
      <c r="E8" s="12">
        <f>Mon!L9</f>
        <v>4</v>
      </c>
      <c r="F8" s="12">
        <f>Tues!L9</f>
        <v>4</v>
      </c>
      <c r="G8" s="12">
        <f>Wed!L9</f>
        <v>5</v>
      </c>
      <c r="H8" s="12">
        <f>Thurs!L9</f>
        <v>4</v>
      </c>
      <c r="I8" s="18">
        <f t="shared" si="0"/>
        <v>20</v>
      </c>
    </row>
    <row r="9" customHeight="1" spans="1:9">
      <c r="A9" s="9"/>
      <c r="B9" s="9">
        <v>6</v>
      </c>
      <c r="C9" s="10" t="s">
        <v>43</v>
      </c>
      <c r="D9" s="11">
        <f>Sun!L10</f>
        <v>2</v>
      </c>
      <c r="E9" s="12">
        <f>Mon!L10</f>
        <v>3</v>
      </c>
      <c r="F9" s="12">
        <f>Tues!L10</f>
        <v>3</v>
      </c>
      <c r="G9" s="12">
        <f>Wed!L10</f>
        <v>4</v>
      </c>
      <c r="H9" s="12">
        <f>Thurs!L10</f>
        <v>3</v>
      </c>
      <c r="I9" s="18">
        <f t="shared" si="0"/>
        <v>15</v>
      </c>
    </row>
    <row r="10" customHeight="1" spans="1:9">
      <c r="A10" s="9"/>
      <c r="B10" s="9">
        <v>7</v>
      </c>
      <c r="C10" s="10" t="s">
        <v>46</v>
      </c>
      <c r="D10" s="11">
        <f>Sun!L11</f>
        <v>5</v>
      </c>
      <c r="E10" s="12">
        <f>Mon!L11</f>
        <v>4</v>
      </c>
      <c r="F10" s="12">
        <f>Tues!L11</f>
        <v>4</v>
      </c>
      <c r="G10" s="12">
        <f>Wed!L11</f>
        <v>4</v>
      </c>
      <c r="H10" s="12">
        <f>Thurs!L11</f>
        <v>4</v>
      </c>
      <c r="I10" s="18">
        <f t="shared" si="0"/>
        <v>21</v>
      </c>
    </row>
    <row r="11" customHeight="1" spans="1:9">
      <c r="A11" s="9"/>
      <c r="B11" s="9">
        <v>8</v>
      </c>
      <c r="C11" s="10" t="s">
        <v>51</v>
      </c>
      <c r="D11" s="11">
        <f>Sun!L12</f>
        <v>5</v>
      </c>
      <c r="E11" s="12">
        <f>Mon!L12</f>
        <v>4</v>
      </c>
      <c r="F11" s="12">
        <f>Tues!L12</f>
        <v>4</v>
      </c>
      <c r="G11" s="12">
        <f>Wed!L12</f>
        <v>4</v>
      </c>
      <c r="H11" s="12">
        <f>Thurs!L12</f>
        <v>4</v>
      </c>
      <c r="I11" s="18">
        <f t="shared" si="0"/>
        <v>21</v>
      </c>
    </row>
    <row r="12" customHeight="1" spans="1:9">
      <c r="A12" s="9"/>
      <c r="B12" s="9">
        <v>9</v>
      </c>
      <c r="C12" s="10" t="s">
        <v>57</v>
      </c>
      <c r="D12" s="11">
        <f>Sun!L13</f>
        <v>5</v>
      </c>
      <c r="E12" s="12">
        <f>Mon!L13</f>
        <v>4</v>
      </c>
      <c r="F12" s="12">
        <f>Tues!L13</f>
        <v>4</v>
      </c>
      <c r="G12" s="12">
        <f>Wed!L13</f>
        <v>4</v>
      </c>
      <c r="H12" s="12">
        <f>Thurs!L13</f>
        <v>4</v>
      </c>
      <c r="I12" s="18">
        <f t="shared" si="0"/>
        <v>21</v>
      </c>
    </row>
    <row r="13" customHeight="1" spans="1:9">
      <c r="A13" s="9"/>
      <c r="B13" s="9">
        <v>10</v>
      </c>
      <c r="C13" s="10" t="s">
        <v>63</v>
      </c>
      <c r="D13" s="11">
        <f>Sun!L14</f>
        <v>5</v>
      </c>
      <c r="E13" s="12">
        <f>Mon!L14</f>
        <v>3</v>
      </c>
      <c r="F13" s="12">
        <f>Tues!L14</f>
        <v>4</v>
      </c>
      <c r="G13" s="12">
        <f>Wed!L14</f>
        <v>4</v>
      </c>
      <c r="H13" s="12">
        <f>Thurs!L14</f>
        <v>5</v>
      </c>
      <c r="I13" s="18">
        <f t="shared" si="0"/>
        <v>21</v>
      </c>
    </row>
    <row r="14" customHeight="1" spans="1:9">
      <c r="A14" s="9"/>
      <c r="B14" s="9">
        <v>11</v>
      </c>
      <c r="C14" s="10" t="s">
        <v>68</v>
      </c>
      <c r="D14" s="11">
        <f>Sun!L15</f>
        <v>3</v>
      </c>
      <c r="E14" s="12">
        <f>Mon!L15</f>
        <v>5</v>
      </c>
      <c r="F14" s="12">
        <f>Tues!L15</f>
        <v>4</v>
      </c>
      <c r="G14" s="12">
        <f>Wed!L15</f>
        <v>4</v>
      </c>
      <c r="H14" s="12">
        <f>Thurs!L15</f>
        <v>5</v>
      </c>
      <c r="I14" s="18">
        <f t="shared" si="0"/>
        <v>21</v>
      </c>
    </row>
    <row r="15" customHeight="1" spans="1:9">
      <c r="A15" s="9"/>
      <c r="B15" s="9">
        <v>12</v>
      </c>
      <c r="C15" s="10" t="s">
        <v>72</v>
      </c>
      <c r="D15" s="11">
        <f>Sun!L16</f>
        <v>4</v>
      </c>
      <c r="E15" s="12">
        <f>Mon!L16</f>
        <v>4</v>
      </c>
      <c r="F15" s="12">
        <f>Tues!L16</f>
        <v>5</v>
      </c>
      <c r="G15" s="12">
        <f>Wed!L16</f>
        <v>3</v>
      </c>
      <c r="H15" s="12">
        <f>Thurs!L16</f>
        <v>5</v>
      </c>
      <c r="I15" s="18">
        <f t="shared" si="0"/>
        <v>21</v>
      </c>
    </row>
    <row r="16" customHeight="1" spans="1:9">
      <c r="A16" s="9"/>
      <c r="B16" s="9">
        <v>13</v>
      </c>
      <c r="C16" s="10" t="s">
        <v>77</v>
      </c>
      <c r="D16" s="11">
        <f>Sun!L17</f>
        <v>3</v>
      </c>
      <c r="E16" s="12">
        <f>Mon!L17</f>
        <v>4</v>
      </c>
      <c r="F16" s="12">
        <f>Tues!L17</f>
        <v>5</v>
      </c>
      <c r="G16" s="12">
        <f>Wed!L17</f>
        <v>4</v>
      </c>
      <c r="H16" s="12">
        <f>Thurs!L17</f>
        <v>5</v>
      </c>
      <c r="I16" s="18">
        <f t="shared" si="0"/>
        <v>21</v>
      </c>
    </row>
    <row r="17" customHeight="1" spans="1:9">
      <c r="A17" s="9"/>
      <c r="B17" s="9">
        <v>14</v>
      </c>
      <c r="C17" s="10" t="s">
        <v>79</v>
      </c>
      <c r="D17" s="11">
        <f>Sun!L18</f>
        <v>4</v>
      </c>
      <c r="E17" s="12">
        <f>Mon!L18</f>
        <v>4</v>
      </c>
      <c r="F17" s="12">
        <f>Tues!L18</f>
        <v>4</v>
      </c>
      <c r="G17" s="12">
        <f>Wed!L18</f>
        <v>4</v>
      </c>
      <c r="H17" s="12">
        <f>Thurs!L18</f>
        <v>4</v>
      </c>
      <c r="I17" s="18">
        <f t="shared" si="0"/>
        <v>20</v>
      </c>
    </row>
    <row r="18" customHeight="1" spans="1:9">
      <c r="A18" s="9"/>
      <c r="B18" s="9">
        <v>15</v>
      </c>
      <c r="C18" s="10" t="s">
        <v>83</v>
      </c>
      <c r="D18" s="11">
        <f>Sun!L19</f>
        <v>4</v>
      </c>
      <c r="E18" s="12">
        <f>Mon!L19</f>
        <v>4</v>
      </c>
      <c r="F18" s="12">
        <f>Tues!L19</f>
        <v>4</v>
      </c>
      <c r="G18" s="12">
        <f>Wed!L19</f>
        <v>4</v>
      </c>
      <c r="H18" s="12">
        <f>Thurs!L19</f>
        <v>4</v>
      </c>
      <c r="I18" s="18">
        <f t="shared" si="0"/>
        <v>20</v>
      </c>
    </row>
    <row r="19" customHeight="1" spans="1:9">
      <c r="A19" s="9"/>
      <c r="B19" s="9">
        <v>16</v>
      </c>
      <c r="C19" s="10" t="s">
        <v>88</v>
      </c>
      <c r="D19" s="11">
        <f>Sun!L20</f>
        <v>4</v>
      </c>
      <c r="E19" s="12">
        <f>Mon!L20</f>
        <v>4</v>
      </c>
      <c r="F19" s="12">
        <f>Tues!L20</f>
        <v>4</v>
      </c>
      <c r="G19" s="12">
        <f>Wed!L20</f>
        <v>4</v>
      </c>
      <c r="H19" s="12">
        <f>Thurs!L20</f>
        <v>4</v>
      </c>
      <c r="I19" s="18">
        <f t="shared" si="0"/>
        <v>20</v>
      </c>
    </row>
    <row r="20" customHeight="1" spans="1:9">
      <c r="A20" s="13" t="s">
        <v>93</v>
      </c>
      <c r="B20" s="9">
        <v>1</v>
      </c>
      <c r="C20" s="10" t="s">
        <v>94</v>
      </c>
      <c r="D20" s="11">
        <f>Sun!L21</f>
        <v>4</v>
      </c>
      <c r="E20" s="12">
        <f>Mon!L21</f>
        <v>3</v>
      </c>
      <c r="F20" s="12">
        <f>Tues!L21</f>
        <v>4</v>
      </c>
      <c r="G20" s="12">
        <f>Wed!L21</f>
        <v>4</v>
      </c>
      <c r="H20" s="12">
        <f>Thurs!L21</f>
        <v>3</v>
      </c>
      <c r="I20" s="18">
        <f t="shared" si="0"/>
        <v>18</v>
      </c>
    </row>
    <row r="21" customHeight="1" spans="1:9">
      <c r="A21" s="14"/>
      <c r="B21" s="9">
        <v>2</v>
      </c>
      <c r="C21" s="10" t="s">
        <v>95</v>
      </c>
      <c r="D21" s="11">
        <f>Sun!L22</f>
        <v>4</v>
      </c>
      <c r="E21" s="12">
        <f>Mon!L22</f>
        <v>4</v>
      </c>
      <c r="F21" s="12">
        <f>Tues!L22</f>
        <v>4</v>
      </c>
      <c r="G21" s="12">
        <f>Wed!L22</f>
        <v>4</v>
      </c>
      <c r="H21" s="12">
        <f>Thurs!L22</f>
        <v>4</v>
      </c>
      <c r="I21" s="18">
        <f t="shared" si="0"/>
        <v>20</v>
      </c>
    </row>
    <row r="22" customHeight="1" spans="1:9">
      <c r="A22" s="14"/>
      <c r="B22" s="9">
        <v>3</v>
      </c>
      <c r="C22" s="10" t="s">
        <v>96</v>
      </c>
      <c r="D22" s="11">
        <f>Sun!L23</f>
        <v>5</v>
      </c>
      <c r="E22" s="12">
        <f>Mon!L23</f>
        <v>3</v>
      </c>
      <c r="F22" s="12">
        <f>Tues!L23</f>
        <v>4</v>
      </c>
      <c r="G22" s="12">
        <f>Wed!L23</f>
        <v>4</v>
      </c>
      <c r="H22" s="12">
        <f>Thurs!L23</f>
        <v>4</v>
      </c>
      <c r="I22" s="18">
        <f t="shared" si="0"/>
        <v>20</v>
      </c>
    </row>
    <row r="23" customHeight="1" spans="1:9">
      <c r="A23" s="14"/>
      <c r="B23" s="9">
        <v>4</v>
      </c>
      <c r="C23" s="10" t="s">
        <v>98</v>
      </c>
      <c r="D23" s="11">
        <f>Sun!L24</f>
        <v>4</v>
      </c>
      <c r="E23" s="12">
        <f>Mon!L24</f>
        <v>4</v>
      </c>
      <c r="F23" s="12">
        <f>Tues!L24</f>
        <v>4</v>
      </c>
      <c r="G23" s="12">
        <f>Wed!L24</f>
        <v>4</v>
      </c>
      <c r="H23" s="12">
        <f>Thurs!L24</f>
        <v>4</v>
      </c>
      <c r="I23" s="18">
        <f t="shared" si="0"/>
        <v>20</v>
      </c>
    </row>
    <row r="24" customHeight="1" spans="1:9">
      <c r="A24" s="14"/>
      <c r="B24" s="9">
        <v>5</v>
      </c>
      <c r="C24" s="10" t="s">
        <v>99</v>
      </c>
      <c r="D24" s="11">
        <f>Sun!L25</f>
        <v>4</v>
      </c>
      <c r="E24" s="12">
        <f>Mon!L25</f>
        <v>4</v>
      </c>
      <c r="F24" s="12">
        <f>Tues!L25</f>
        <v>4</v>
      </c>
      <c r="G24" s="12">
        <f>Wed!L25</f>
        <v>4</v>
      </c>
      <c r="H24" s="12">
        <f>Thurs!L25</f>
        <v>4</v>
      </c>
      <c r="I24" s="18">
        <f t="shared" si="0"/>
        <v>20</v>
      </c>
    </row>
    <row r="25" customHeight="1" spans="1:9">
      <c r="A25" s="14"/>
      <c r="B25" s="9">
        <v>6</v>
      </c>
      <c r="C25" s="10" t="s">
        <v>101</v>
      </c>
      <c r="D25" s="11">
        <f>Sun!L26</f>
        <v>4</v>
      </c>
      <c r="E25" s="12">
        <f>Mon!L26</f>
        <v>4</v>
      </c>
      <c r="F25" s="12">
        <f>Tues!L26</f>
        <v>4</v>
      </c>
      <c r="G25" s="12">
        <f>Wed!L26</f>
        <v>4</v>
      </c>
      <c r="H25" s="12">
        <f>Thurs!L26</f>
        <v>5</v>
      </c>
      <c r="I25" s="18">
        <f t="shared" si="0"/>
        <v>21</v>
      </c>
    </row>
    <row r="26" customHeight="1" spans="1:9">
      <c r="A26" s="14"/>
      <c r="B26" s="9">
        <v>7</v>
      </c>
      <c r="C26" s="10" t="s">
        <v>102</v>
      </c>
      <c r="D26" s="11">
        <f>Sun!L27</f>
        <v>5</v>
      </c>
      <c r="E26" s="12">
        <f>Mon!L27</f>
        <v>4</v>
      </c>
      <c r="F26" s="12">
        <f>Tues!L27</f>
        <v>3</v>
      </c>
      <c r="G26" s="12">
        <f>Wed!L27</f>
        <v>4</v>
      </c>
      <c r="H26" s="12">
        <f>Thurs!L27</f>
        <v>4</v>
      </c>
      <c r="I26" s="18">
        <f t="shared" si="0"/>
        <v>20</v>
      </c>
    </row>
    <row r="27" customHeight="1" spans="1:9">
      <c r="A27" s="14"/>
      <c r="B27" s="9">
        <v>8</v>
      </c>
      <c r="C27" s="10" t="s">
        <v>103</v>
      </c>
      <c r="D27" s="11">
        <f>Sun!L28</f>
        <v>4</v>
      </c>
      <c r="E27" s="12">
        <f>Mon!L28</f>
        <v>4</v>
      </c>
      <c r="F27" s="12">
        <f>Tues!L28</f>
        <v>4</v>
      </c>
      <c r="G27" s="12">
        <f>Wed!L28</f>
        <v>4</v>
      </c>
      <c r="H27" s="12">
        <f>Thurs!L28</f>
        <v>4</v>
      </c>
      <c r="I27" s="18">
        <f t="shared" si="0"/>
        <v>20</v>
      </c>
    </row>
    <row r="28" customHeight="1" spans="1:9">
      <c r="A28" s="14"/>
      <c r="B28" s="9">
        <v>9</v>
      </c>
      <c r="C28" s="10" t="s">
        <v>105</v>
      </c>
      <c r="D28" s="11">
        <f>Sun!L29</f>
        <v>4</v>
      </c>
      <c r="E28" s="12">
        <f>Mon!L29</f>
        <v>5</v>
      </c>
      <c r="F28" s="12">
        <f>Tues!L29</f>
        <v>4</v>
      </c>
      <c r="G28" s="12">
        <f>Wed!L29</f>
        <v>4</v>
      </c>
      <c r="H28" s="12">
        <f>Thurs!L29</f>
        <v>4</v>
      </c>
      <c r="I28" s="18">
        <f t="shared" si="0"/>
        <v>21</v>
      </c>
    </row>
    <row r="29" customHeight="1" spans="1:9">
      <c r="A29" s="14"/>
      <c r="B29" s="9">
        <v>10</v>
      </c>
      <c r="C29" s="10" t="s">
        <v>106</v>
      </c>
      <c r="D29" s="11">
        <f>Sun!L30</f>
        <v>5</v>
      </c>
      <c r="E29" s="12">
        <f>Mon!L30</f>
        <v>4</v>
      </c>
      <c r="F29" s="12">
        <f>Tues!L30</f>
        <v>5</v>
      </c>
      <c r="G29" s="12">
        <f>Wed!L30</f>
        <v>3</v>
      </c>
      <c r="H29" s="12">
        <f>Thurs!L30</f>
        <v>4</v>
      </c>
      <c r="I29" s="18">
        <f t="shared" si="0"/>
        <v>21</v>
      </c>
    </row>
    <row r="30" customHeight="1" spans="1:9">
      <c r="A30" s="14"/>
      <c r="B30" s="9">
        <v>11</v>
      </c>
      <c r="C30" s="10" t="s">
        <v>109</v>
      </c>
      <c r="D30" s="11">
        <f>Sun!L31</f>
        <v>4</v>
      </c>
      <c r="E30" s="12">
        <f>Mon!L31</f>
        <v>4</v>
      </c>
      <c r="F30" s="12">
        <f>Tues!L31</f>
        <v>4</v>
      </c>
      <c r="G30" s="12">
        <f>Wed!L31</f>
        <v>4</v>
      </c>
      <c r="H30" s="12">
        <f>Thurs!L31</f>
        <v>5</v>
      </c>
      <c r="I30" s="18">
        <f t="shared" si="0"/>
        <v>21</v>
      </c>
    </row>
    <row r="31" customHeight="1" spans="1:9">
      <c r="A31" s="14"/>
      <c r="B31" s="9">
        <v>12</v>
      </c>
      <c r="C31" s="10" t="s">
        <v>110</v>
      </c>
      <c r="D31" s="11">
        <f>Sun!L32</f>
        <v>4</v>
      </c>
      <c r="E31" s="12">
        <f>Mon!L32</f>
        <v>4</v>
      </c>
      <c r="F31" s="12">
        <f>Tues!L32</f>
        <v>5</v>
      </c>
      <c r="G31" s="12">
        <f>Wed!L32</f>
        <v>3</v>
      </c>
      <c r="H31" s="12">
        <f>Thurs!L32</f>
        <v>4</v>
      </c>
      <c r="I31" s="18">
        <f t="shared" si="0"/>
        <v>20</v>
      </c>
    </row>
    <row r="32" customHeight="1" spans="1:9">
      <c r="A32" s="14"/>
      <c r="B32" s="9">
        <v>13</v>
      </c>
      <c r="C32" s="10" t="s">
        <v>113</v>
      </c>
      <c r="D32" s="11">
        <f>Sun!L33</f>
        <v>4</v>
      </c>
      <c r="E32" s="12">
        <f>Mon!L33</f>
        <v>4</v>
      </c>
      <c r="F32" s="12">
        <f>Tues!L33</f>
        <v>4</v>
      </c>
      <c r="G32" s="12">
        <f>Wed!L33</f>
        <v>5</v>
      </c>
      <c r="H32" s="12">
        <f>Thurs!L33</f>
        <v>4</v>
      </c>
      <c r="I32" s="18">
        <f t="shared" si="0"/>
        <v>21</v>
      </c>
    </row>
    <row r="33" customHeight="1" spans="1:9">
      <c r="A33" s="14"/>
      <c r="B33" s="9">
        <v>14</v>
      </c>
      <c r="C33" s="10" t="s">
        <v>116</v>
      </c>
      <c r="D33" s="11">
        <f>Sun!L34</f>
        <v>4</v>
      </c>
      <c r="E33" s="12">
        <f>Mon!L34</f>
        <v>5</v>
      </c>
      <c r="F33" s="12">
        <f>Tues!L34</f>
        <v>4</v>
      </c>
      <c r="G33" s="12">
        <f>Wed!L34</f>
        <v>4</v>
      </c>
      <c r="H33" s="12">
        <f>Thurs!L34</f>
        <v>4</v>
      </c>
      <c r="I33" s="18">
        <f t="shared" si="0"/>
        <v>21</v>
      </c>
    </row>
    <row r="34" customHeight="1" spans="1:9">
      <c r="A34" s="14"/>
      <c r="B34" s="9">
        <v>15</v>
      </c>
      <c r="C34" s="10" t="s">
        <v>117</v>
      </c>
      <c r="D34" s="11">
        <f>Sun!L35</f>
        <v>4</v>
      </c>
      <c r="E34" s="12">
        <f>Mon!L35</f>
        <v>4</v>
      </c>
      <c r="F34" s="12">
        <f>Tues!L35</f>
        <v>4</v>
      </c>
      <c r="G34" s="12">
        <f>Wed!L35</f>
        <v>4</v>
      </c>
      <c r="H34" s="12">
        <f>Thurs!L35</f>
        <v>5</v>
      </c>
      <c r="I34" s="18">
        <f t="shared" si="0"/>
        <v>21</v>
      </c>
    </row>
    <row r="35" customHeight="1" spans="1:9">
      <c r="A35" s="15"/>
      <c r="B35" s="9">
        <v>16</v>
      </c>
      <c r="C35" s="10" t="s">
        <v>119</v>
      </c>
      <c r="D35" s="11">
        <f>Sun!L36</f>
        <v>4</v>
      </c>
      <c r="E35" s="12">
        <f>Mon!L36</f>
        <v>4</v>
      </c>
      <c r="F35" s="12">
        <f>Tues!L36</f>
        <v>4</v>
      </c>
      <c r="G35" s="12">
        <f>Wed!L36</f>
        <v>5</v>
      </c>
      <c r="H35" s="12">
        <f>Thurs!L36</f>
        <v>4</v>
      </c>
      <c r="I35" s="18">
        <f t="shared" si="0"/>
        <v>21</v>
      </c>
    </row>
    <row r="36" customHeight="1" spans="1:9">
      <c r="A36" s="9" t="s">
        <v>122</v>
      </c>
      <c r="B36" s="16">
        <v>1</v>
      </c>
      <c r="C36" s="10" t="s">
        <v>123</v>
      </c>
      <c r="D36" s="11">
        <f>Sun!L37</f>
        <v>1</v>
      </c>
      <c r="E36" s="12">
        <f>Mon!L37</f>
        <v>1</v>
      </c>
      <c r="F36" s="12">
        <f>Tues!L37</f>
        <v>1</v>
      </c>
      <c r="G36" s="12">
        <f>Wed!L37</f>
        <v>1</v>
      </c>
      <c r="H36" s="12">
        <f>Thurs!L37</f>
        <v>1</v>
      </c>
      <c r="I36" s="18">
        <f t="shared" si="0"/>
        <v>5</v>
      </c>
    </row>
    <row r="37" customHeight="1" spans="1:9">
      <c r="A37" s="9"/>
      <c r="B37" s="16">
        <v>2</v>
      </c>
      <c r="C37" s="10" t="s">
        <v>124</v>
      </c>
      <c r="D37" s="11">
        <f>Sun!L38</f>
        <v>4</v>
      </c>
      <c r="E37" s="12">
        <f>Mon!L38</f>
        <v>4</v>
      </c>
      <c r="F37" s="12">
        <f>Tues!L38</f>
        <v>3</v>
      </c>
      <c r="G37" s="12">
        <f>Wed!L38</f>
        <v>3</v>
      </c>
      <c r="H37" s="12">
        <f>Thurs!L38</f>
        <v>4</v>
      </c>
      <c r="I37" s="18">
        <f t="shared" si="0"/>
        <v>18</v>
      </c>
    </row>
    <row r="38" customHeight="1" spans="1:9">
      <c r="A38" s="9"/>
      <c r="B38" s="16">
        <v>3</v>
      </c>
      <c r="C38" s="10" t="s">
        <v>125</v>
      </c>
      <c r="D38" s="11">
        <f>Sun!L39</f>
        <v>4</v>
      </c>
      <c r="E38" s="12">
        <f>Mon!L39</f>
        <v>3</v>
      </c>
      <c r="F38" s="12">
        <f>Tues!L39</f>
        <v>4</v>
      </c>
      <c r="G38" s="12">
        <f>Wed!L39</f>
        <v>4</v>
      </c>
      <c r="H38" s="12">
        <f>Thurs!L39</f>
        <v>4</v>
      </c>
      <c r="I38" s="18">
        <f t="shared" si="0"/>
        <v>19</v>
      </c>
    </row>
    <row r="39" customHeight="1" spans="1:9">
      <c r="A39" s="9"/>
      <c r="B39" s="16">
        <v>4</v>
      </c>
      <c r="C39" s="10" t="s">
        <v>126</v>
      </c>
      <c r="D39" s="11">
        <f>Sun!L40</f>
        <v>4</v>
      </c>
      <c r="E39" s="12">
        <f>Mon!L40</f>
        <v>4</v>
      </c>
      <c r="F39" s="12">
        <f>Tues!L40</f>
        <v>4</v>
      </c>
      <c r="G39" s="12">
        <f>Wed!L40</f>
        <v>3</v>
      </c>
      <c r="H39" s="12">
        <f>Thurs!L40</f>
        <v>4</v>
      </c>
      <c r="I39" s="18">
        <f t="shared" si="0"/>
        <v>19</v>
      </c>
    </row>
    <row r="40" customHeight="1" spans="1:9">
      <c r="A40" s="9"/>
      <c r="B40" s="16">
        <v>5</v>
      </c>
      <c r="C40" s="10" t="s">
        <v>127</v>
      </c>
      <c r="D40" s="11">
        <f>Sun!L41</f>
        <v>4</v>
      </c>
      <c r="E40" s="12">
        <f>Mon!L41</f>
        <v>4</v>
      </c>
      <c r="F40" s="12">
        <f>Tues!L41</f>
        <v>4</v>
      </c>
      <c r="G40" s="12">
        <f>Wed!L41</f>
        <v>3</v>
      </c>
      <c r="H40" s="12">
        <f>Thurs!L41</f>
        <v>4</v>
      </c>
      <c r="I40" s="18">
        <f t="shared" si="0"/>
        <v>19</v>
      </c>
    </row>
    <row r="41" customHeight="1" spans="1:9">
      <c r="A41" s="9"/>
      <c r="B41" s="16">
        <v>6</v>
      </c>
      <c r="C41" s="10" t="s">
        <v>128</v>
      </c>
      <c r="D41" s="11">
        <f>Sun!L42</f>
        <v>4</v>
      </c>
      <c r="E41" s="12">
        <f>Mon!L42</f>
        <v>4</v>
      </c>
      <c r="F41" s="12">
        <f>Tues!L42</f>
        <v>3</v>
      </c>
      <c r="G41" s="12">
        <f>Wed!L42</f>
        <v>4</v>
      </c>
      <c r="H41" s="12">
        <f>Thurs!L42</f>
        <v>4</v>
      </c>
      <c r="I41" s="18">
        <f t="shared" si="0"/>
        <v>19</v>
      </c>
    </row>
    <row r="42" customHeight="1" spans="1:9">
      <c r="A42" s="9"/>
      <c r="B42" s="16">
        <v>7</v>
      </c>
      <c r="C42" s="10" t="s">
        <v>130</v>
      </c>
      <c r="D42" s="11">
        <f>Sun!L43</f>
        <v>4</v>
      </c>
      <c r="E42" s="12">
        <f>Mon!L43</f>
        <v>4</v>
      </c>
      <c r="F42" s="12">
        <f>Tues!L43</f>
        <v>4</v>
      </c>
      <c r="G42" s="12">
        <f>Wed!L43</f>
        <v>3</v>
      </c>
      <c r="H42" s="12">
        <f>Thurs!L43</f>
        <v>4</v>
      </c>
      <c r="I42" s="18">
        <f t="shared" si="0"/>
        <v>19</v>
      </c>
    </row>
    <row r="43" customHeight="1" spans="1:9">
      <c r="A43" s="9"/>
      <c r="B43" s="16">
        <v>8</v>
      </c>
      <c r="C43" s="10" t="s">
        <v>131</v>
      </c>
      <c r="D43" s="11">
        <f>Sun!L44</f>
        <v>4</v>
      </c>
      <c r="E43" s="12">
        <f>Mon!L44</f>
        <v>4</v>
      </c>
      <c r="F43" s="12">
        <f>Tues!L44</f>
        <v>4</v>
      </c>
      <c r="G43" s="12">
        <f>Wed!L44</f>
        <v>4</v>
      </c>
      <c r="H43" s="12">
        <f>Thurs!L44</f>
        <v>4</v>
      </c>
      <c r="I43" s="18">
        <f t="shared" si="0"/>
        <v>20</v>
      </c>
    </row>
    <row r="44" customHeight="1" spans="1:9">
      <c r="A44" s="9"/>
      <c r="B44" s="16">
        <v>9</v>
      </c>
      <c r="C44" s="10" t="s">
        <v>133</v>
      </c>
      <c r="D44" s="11">
        <f>Sun!L45</f>
        <v>4</v>
      </c>
      <c r="E44" s="12">
        <f>Mon!L45</f>
        <v>4</v>
      </c>
      <c r="F44" s="12">
        <f>Tues!L45</f>
        <v>4</v>
      </c>
      <c r="G44" s="12">
        <f>Wed!L45</f>
        <v>4</v>
      </c>
      <c r="H44" s="12">
        <f>Thurs!L45</f>
        <v>4</v>
      </c>
      <c r="I44" s="18">
        <f t="shared" si="0"/>
        <v>20</v>
      </c>
    </row>
    <row r="45" customHeight="1" spans="1:9">
      <c r="A45" s="9"/>
      <c r="B45" s="16">
        <v>10</v>
      </c>
      <c r="C45" s="10" t="s">
        <v>134</v>
      </c>
      <c r="D45" s="11">
        <f>Sun!L46</f>
        <v>5</v>
      </c>
      <c r="E45" s="12">
        <f>Mon!L46</f>
        <v>5</v>
      </c>
      <c r="F45" s="12">
        <f>Tues!L46</f>
        <v>4</v>
      </c>
      <c r="G45" s="12">
        <f>Wed!L46</f>
        <v>3</v>
      </c>
      <c r="H45" s="12">
        <f>Thurs!L46</f>
        <v>3</v>
      </c>
      <c r="I45" s="18">
        <f t="shared" si="0"/>
        <v>20</v>
      </c>
    </row>
    <row r="46" customHeight="1" spans="1:9">
      <c r="A46" s="9"/>
      <c r="B46" s="16">
        <v>11</v>
      </c>
      <c r="C46" s="10" t="s">
        <v>136</v>
      </c>
      <c r="D46" s="11">
        <f>Sun!L47</f>
        <v>4</v>
      </c>
      <c r="E46" s="12">
        <f>Mon!L47</f>
        <v>4</v>
      </c>
      <c r="F46" s="12">
        <f>Tues!L47</f>
        <v>3</v>
      </c>
      <c r="G46" s="12">
        <f>Wed!L47</f>
        <v>4</v>
      </c>
      <c r="H46" s="12">
        <f>Thurs!L47</f>
        <v>5</v>
      </c>
      <c r="I46" s="18">
        <f t="shared" si="0"/>
        <v>20</v>
      </c>
    </row>
    <row r="47" customHeight="1" spans="1:9">
      <c r="A47" s="9"/>
      <c r="B47" s="16">
        <v>12</v>
      </c>
      <c r="C47" s="10" t="s">
        <v>137</v>
      </c>
      <c r="D47" s="11">
        <f>Sun!L48</f>
        <v>5</v>
      </c>
      <c r="E47" s="12">
        <f>Mon!L48</f>
        <v>5</v>
      </c>
      <c r="F47" s="12">
        <f>Tues!L48</f>
        <v>4</v>
      </c>
      <c r="G47" s="12">
        <f>Wed!L48</f>
        <v>3</v>
      </c>
      <c r="H47" s="12">
        <f>Thurs!L48</f>
        <v>3</v>
      </c>
      <c r="I47" s="18">
        <f t="shared" si="0"/>
        <v>20</v>
      </c>
    </row>
    <row r="48" customHeight="1" spans="1:9">
      <c r="A48" s="9"/>
      <c r="B48" s="16">
        <v>13</v>
      </c>
      <c r="C48" s="10" t="s">
        <v>139</v>
      </c>
      <c r="D48" s="11">
        <f>Sun!L49</f>
        <v>4</v>
      </c>
      <c r="E48" s="12">
        <f>Mon!L49</f>
        <v>4</v>
      </c>
      <c r="F48" s="12">
        <f>Tues!L49</f>
        <v>4</v>
      </c>
      <c r="G48" s="12">
        <f>Wed!L49</f>
        <v>4</v>
      </c>
      <c r="H48" s="12">
        <f>Thurs!L49</f>
        <v>4</v>
      </c>
      <c r="I48" s="18">
        <f t="shared" si="0"/>
        <v>20</v>
      </c>
    </row>
    <row r="49" customHeight="1" spans="1:9">
      <c r="A49" s="9"/>
      <c r="B49" s="16">
        <v>14</v>
      </c>
      <c r="C49" s="10" t="s">
        <v>141</v>
      </c>
      <c r="D49" s="11">
        <f>Sun!L50</f>
        <v>4</v>
      </c>
      <c r="E49" s="12">
        <f>Mon!L50</f>
        <v>5</v>
      </c>
      <c r="F49" s="12">
        <f>Tues!L50</f>
        <v>4</v>
      </c>
      <c r="G49" s="12">
        <f>Wed!L50</f>
        <v>4</v>
      </c>
      <c r="H49" s="12">
        <f>Thurs!L50</f>
        <v>4</v>
      </c>
      <c r="I49" s="18">
        <f t="shared" si="0"/>
        <v>21</v>
      </c>
    </row>
    <row r="50" customHeight="1" spans="1:9">
      <c r="A50" s="9"/>
      <c r="B50" s="16">
        <v>15</v>
      </c>
      <c r="C50" s="10" t="s">
        <v>142</v>
      </c>
      <c r="D50" s="11">
        <f>Sun!L51</f>
        <v>3</v>
      </c>
      <c r="E50" s="12">
        <f>Mon!L51</f>
        <v>4</v>
      </c>
      <c r="F50" s="12">
        <f>Tues!L51</f>
        <v>4</v>
      </c>
      <c r="G50" s="12">
        <f>Wed!L51</f>
        <v>4</v>
      </c>
      <c r="H50" s="12">
        <f>Thurs!L51</f>
        <v>5</v>
      </c>
      <c r="I50" s="18">
        <f t="shared" si="0"/>
        <v>20</v>
      </c>
    </row>
    <row r="51" customHeight="1" spans="1:9">
      <c r="A51" s="9"/>
      <c r="B51" s="16">
        <v>16</v>
      </c>
      <c r="C51" s="10" t="s">
        <v>143</v>
      </c>
      <c r="D51" s="11">
        <f>Sun!L52</f>
        <v>5</v>
      </c>
      <c r="E51" s="12">
        <f>Mon!L52</f>
        <v>4</v>
      </c>
      <c r="F51" s="12">
        <f>Tues!L52</f>
        <v>4</v>
      </c>
      <c r="G51" s="12">
        <f>Wed!L52</f>
        <v>4</v>
      </c>
      <c r="H51" s="12">
        <f>Thurs!L52</f>
        <v>3</v>
      </c>
      <c r="I51" s="18">
        <f t="shared" si="0"/>
        <v>20</v>
      </c>
    </row>
    <row r="52" customHeight="1" spans="1:9">
      <c r="A52" s="17" t="s">
        <v>145</v>
      </c>
      <c r="B52" s="9">
        <v>1</v>
      </c>
      <c r="C52" s="10" t="s">
        <v>146</v>
      </c>
      <c r="D52" s="11">
        <f>Sun!L53</f>
        <v>3</v>
      </c>
      <c r="E52" s="12">
        <f>Mon!L53</f>
        <v>4</v>
      </c>
      <c r="F52" s="12">
        <f>Tues!L53</f>
        <v>4</v>
      </c>
      <c r="G52" s="12">
        <f>Wed!L53</f>
        <v>4</v>
      </c>
      <c r="H52" s="12">
        <f>Thurs!L53</f>
        <v>4</v>
      </c>
      <c r="I52" s="18">
        <f t="shared" si="0"/>
        <v>19</v>
      </c>
    </row>
    <row r="53" customHeight="1" spans="1:9">
      <c r="A53" s="13" t="s">
        <v>147</v>
      </c>
      <c r="B53" s="9">
        <v>2</v>
      </c>
      <c r="C53" s="10" t="s">
        <v>148</v>
      </c>
      <c r="D53" s="11">
        <f>Sun!L54</f>
        <v>3</v>
      </c>
      <c r="E53" s="12">
        <f>Mon!L54</f>
        <v>4</v>
      </c>
      <c r="F53" s="12">
        <f>Tues!L54</f>
        <v>4</v>
      </c>
      <c r="G53" s="12">
        <f>Wed!L54</f>
        <v>4</v>
      </c>
      <c r="H53" s="12">
        <f>Thurs!L54</f>
        <v>4</v>
      </c>
      <c r="I53" s="18">
        <f t="shared" si="0"/>
        <v>19</v>
      </c>
    </row>
    <row r="54" customHeight="1" spans="1:9">
      <c r="A54" s="14"/>
      <c r="B54" s="9">
        <v>3</v>
      </c>
      <c r="C54" s="10" t="s">
        <v>149</v>
      </c>
      <c r="D54" s="11">
        <f>Sun!L55</f>
        <v>4</v>
      </c>
      <c r="E54" s="12">
        <f>Mon!L55</f>
        <v>4</v>
      </c>
      <c r="F54" s="12">
        <f>Tues!L55</f>
        <v>3</v>
      </c>
      <c r="G54" s="12">
        <f>Wed!L55</f>
        <v>4</v>
      </c>
      <c r="H54" s="12">
        <f>Thurs!L55</f>
        <v>5</v>
      </c>
      <c r="I54" s="18">
        <f t="shared" si="0"/>
        <v>20</v>
      </c>
    </row>
    <row r="55" customHeight="1" spans="1:9">
      <c r="A55" s="15"/>
      <c r="B55" s="9">
        <v>4</v>
      </c>
      <c r="C55" s="10" t="s">
        <v>150</v>
      </c>
      <c r="D55" s="11">
        <f>Sun!L56</f>
        <v>4</v>
      </c>
      <c r="E55" s="12">
        <f>Mon!L56</f>
        <v>4</v>
      </c>
      <c r="F55" s="12">
        <f>Tues!L56</f>
        <v>4</v>
      </c>
      <c r="G55" s="12">
        <f>Wed!L56</f>
        <v>5</v>
      </c>
      <c r="H55" s="12">
        <f>Thurs!L56</f>
        <v>3</v>
      </c>
      <c r="I55" s="18">
        <f t="shared" si="0"/>
        <v>20</v>
      </c>
    </row>
    <row r="56" customHeight="1" spans="1:9">
      <c r="A56" s="13" t="s">
        <v>151</v>
      </c>
      <c r="B56" s="9">
        <v>5</v>
      </c>
      <c r="C56" s="10" t="s">
        <v>152</v>
      </c>
      <c r="D56" s="11">
        <f>Sun!L57</f>
        <v>4</v>
      </c>
      <c r="E56" s="12">
        <f>Mon!L57</f>
        <v>3</v>
      </c>
      <c r="F56" s="12">
        <f>Tues!L57</f>
        <v>4</v>
      </c>
      <c r="G56" s="12">
        <f>Wed!L57</f>
        <v>5</v>
      </c>
      <c r="H56" s="12">
        <f>Thurs!L57</f>
        <v>4</v>
      </c>
      <c r="I56" s="18">
        <f t="shared" si="0"/>
        <v>20</v>
      </c>
    </row>
    <row r="57" customHeight="1" spans="1:9">
      <c r="A57" s="14"/>
      <c r="B57" s="9">
        <v>6</v>
      </c>
      <c r="C57" s="10" t="s">
        <v>153</v>
      </c>
      <c r="D57" s="11">
        <f>Sun!L58</f>
        <v>4</v>
      </c>
      <c r="E57" s="12">
        <f>Mon!L58</f>
        <v>4</v>
      </c>
      <c r="F57" s="12">
        <f>Tues!L58</f>
        <v>4</v>
      </c>
      <c r="G57" s="12">
        <f>Wed!L58</f>
        <v>4</v>
      </c>
      <c r="H57" s="12">
        <f>Thurs!L58</f>
        <v>4</v>
      </c>
      <c r="I57" s="18">
        <f t="shared" si="0"/>
        <v>20</v>
      </c>
    </row>
    <row r="58" customHeight="1" spans="1:9">
      <c r="A58" s="14"/>
      <c r="B58" s="9">
        <v>7</v>
      </c>
      <c r="C58" s="10" t="s">
        <v>154</v>
      </c>
      <c r="D58" s="11">
        <f>Sun!L59</f>
        <v>4</v>
      </c>
      <c r="E58" s="12">
        <f>Mon!L59</f>
        <v>4</v>
      </c>
      <c r="F58" s="12">
        <f>Tues!L59</f>
        <v>4</v>
      </c>
      <c r="G58" s="12">
        <f>Wed!L59</f>
        <v>3</v>
      </c>
      <c r="H58" s="12">
        <f>Thurs!L59</f>
        <v>4</v>
      </c>
      <c r="I58" s="18">
        <f t="shared" si="0"/>
        <v>19</v>
      </c>
    </row>
    <row r="59" customHeight="1" spans="1:9">
      <c r="A59" s="14"/>
      <c r="B59" s="9">
        <v>8</v>
      </c>
      <c r="C59" s="10" t="s">
        <v>155</v>
      </c>
      <c r="D59" s="11">
        <f>Sun!L60</f>
        <v>5</v>
      </c>
      <c r="E59" s="12">
        <f>Mon!L60</f>
        <v>4</v>
      </c>
      <c r="F59" s="12">
        <f>Tues!L60</f>
        <v>4</v>
      </c>
      <c r="G59" s="12">
        <f>Wed!L60</f>
        <v>4</v>
      </c>
      <c r="H59" s="12">
        <v>4</v>
      </c>
      <c r="I59" s="18">
        <f t="shared" si="0"/>
        <v>21</v>
      </c>
    </row>
    <row r="60" customHeight="1" spans="1:9">
      <c r="A60" s="14"/>
      <c r="B60" s="9">
        <v>9</v>
      </c>
      <c r="C60" s="10" t="s">
        <v>156</v>
      </c>
      <c r="D60" s="11">
        <f>Sun!L61</f>
        <v>4</v>
      </c>
      <c r="E60" s="12">
        <f>Mon!L61</f>
        <v>5</v>
      </c>
      <c r="F60" s="12">
        <f>Tues!L61</f>
        <v>4</v>
      </c>
      <c r="G60" s="12">
        <f>Wed!L61</f>
        <v>4</v>
      </c>
      <c r="H60" s="12">
        <f>Thurs!L61</f>
        <v>4</v>
      </c>
      <c r="I60" s="18">
        <f t="shared" si="0"/>
        <v>21</v>
      </c>
    </row>
    <row r="61" customHeight="1" spans="1:9">
      <c r="A61" s="15"/>
      <c r="B61" s="9">
        <v>10</v>
      </c>
      <c r="C61" s="10" t="s">
        <v>157</v>
      </c>
      <c r="D61" s="11">
        <f>Sun!L62</f>
        <v>4</v>
      </c>
      <c r="E61" s="12">
        <f>Mon!L62</f>
        <v>4</v>
      </c>
      <c r="F61" s="12">
        <f>Tues!L62</f>
        <v>4</v>
      </c>
      <c r="G61" s="12">
        <f>Wed!L62</f>
        <v>4</v>
      </c>
      <c r="H61" s="12">
        <f>Thurs!L62</f>
        <v>4</v>
      </c>
      <c r="I61" s="18">
        <f t="shared" si="0"/>
        <v>20</v>
      </c>
    </row>
    <row r="62" customHeight="1" spans="1:9">
      <c r="A62" s="13" t="s">
        <v>158</v>
      </c>
      <c r="B62" s="9">
        <v>11</v>
      </c>
      <c r="C62" s="10" t="s">
        <v>159</v>
      </c>
      <c r="D62" s="11">
        <f>Sun!L63</f>
        <v>4</v>
      </c>
      <c r="E62" s="12">
        <f>Mon!L63</f>
        <v>4</v>
      </c>
      <c r="F62" s="12">
        <f>Tues!L63</f>
        <v>3</v>
      </c>
      <c r="G62" s="12">
        <f>Wed!L63</f>
        <v>4</v>
      </c>
      <c r="H62" s="12">
        <f>Thurs!L63</f>
        <v>5</v>
      </c>
      <c r="I62" s="18">
        <f t="shared" si="0"/>
        <v>20</v>
      </c>
    </row>
    <row r="63" customHeight="1" spans="1:9">
      <c r="A63" s="14"/>
      <c r="B63" s="9">
        <v>12</v>
      </c>
      <c r="C63" s="10" t="s">
        <v>160</v>
      </c>
      <c r="D63" s="11">
        <f>Sun!L64</f>
        <v>4</v>
      </c>
      <c r="E63" s="12">
        <f>Mon!L64</f>
        <v>4</v>
      </c>
      <c r="F63" s="12">
        <f>Tues!L64</f>
        <v>4</v>
      </c>
      <c r="G63" s="12">
        <f>Wed!L64</f>
        <v>4</v>
      </c>
      <c r="H63" s="12">
        <f>Thurs!L64</f>
        <v>4</v>
      </c>
      <c r="I63" s="18">
        <f t="shared" si="0"/>
        <v>20</v>
      </c>
    </row>
    <row r="64" customHeight="1" spans="1:9">
      <c r="A64" s="14"/>
      <c r="B64" s="9">
        <v>13</v>
      </c>
      <c r="C64" s="10" t="s">
        <v>161</v>
      </c>
      <c r="D64" s="11">
        <f>Sun!L65</f>
        <v>4</v>
      </c>
      <c r="E64" s="12">
        <f>Mon!L65</f>
        <v>4</v>
      </c>
      <c r="F64" s="12">
        <f>Tues!L65</f>
        <v>4</v>
      </c>
      <c r="G64" s="12">
        <f>Wed!L65</f>
        <v>4</v>
      </c>
      <c r="H64" s="12">
        <f>Thurs!L65</f>
        <v>4</v>
      </c>
      <c r="I64" s="18">
        <f t="shared" si="0"/>
        <v>20</v>
      </c>
    </row>
    <row r="65" customHeight="1" spans="1:9">
      <c r="A65" s="15"/>
      <c r="B65" s="9">
        <v>14</v>
      </c>
      <c r="C65" s="10" t="s">
        <v>162</v>
      </c>
      <c r="D65" s="11">
        <f>Sun!L66</f>
        <v>4</v>
      </c>
      <c r="E65" s="12">
        <f>Mon!L66</f>
        <v>4</v>
      </c>
      <c r="F65" s="12">
        <f>Tues!L66</f>
        <v>3</v>
      </c>
      <c r="G65" s="12">
        <f>Wed!L66</f>
        <v>4</v>
      </c>
      <c r="H65" s="12">
        <f>Thurs!L66</f>
        <v>5</v>
      </c>
      <c r="I65" s="18">
        <f t="shared" si="0"/>
        <v>20</v>
      </c>
    </row>
    <row r="66" customHeight="1" spans="1:9">
      <c r="A66" s="14" t="s">
        <v>163</v>
      </c>
      <c r="B66" s="9">
        <v>1</v>
      </c>
      <c r="C66" s="10" t="s">
        <v>164</v>
      </c>
      <c r="D66" s="11">
        <f>Sun!L67</f>
        <v>4</v>
      </c>
      <c r="E66" s="12">
        <f>Mon!L67</f>
        <v>4</v>
      </c>
      <c r="F66" s="12">
        <f>Tues!L67</f>
        <v>4</v>
      </c>
      <c r="G66" s="12">
        <f>Wed!L67</f>
        <v>4</v>
      </c>
      <c r="H66" s="12">
        <f>Thurs!L67</f>
        <v>4</v>
      </c>
      <c r="I66" s="18">
        <f t="shared" si="0"/>
        <v>20</v>
      </c>
    </row>
    <row r="67" customHeight="1" spans="1:9">
      <c r="A67" s="21"/>
      <c r="B67" s="9">
        <v>2</v>
      </c>
      <c r="C67" s="10" t="s">
        <v>166</v>
      </c>
      <c r="D67" s="11">
        <f>Sun!L68</f>
        <v>4</v>
      </c>
      <c r="E67" s="12">
        <f>Mon!L68</f>
        <v>4</v>
      </c>
      <c r="F67" s="12">
        <f>Tues!L68</f>
        <v>4</v>
      </c>
      <c r="G67" s="12">
        <f>Wed!L68</f>
        <v>5</v>
      </c>
      <c r="H67" s="12">
        <f>Thurs!L68</f>
        <v>3</v>
      </c>
      <c r="I67" s="18">
        <f t="shared" si="0"/>
        <v>20</v>
      </c>
    </row>
    <row r="68" customHeight="1" spans="1:9">
      <c r="A68" s="21"/>
      <c r="B68" s="9">
        <v>3</v>
      </c>
      <c r="C68" s="10" t="s">
        <v>167</v>
      </c>
      <c r="D68" s="11">
        <f>Sun!L69</f>
        <v>1</v>
      </c>
      <c r="E68" s="12">
        <f>Mon!L69</f>
        <v>1</v>
      </c>
      <c r="F68" s="12">
        <f>Tues!L69</f>
        <v>2</v>
      </c>
      <c r="G68" s="12">
        <f>Wed!L69</f>
        <v>0</v>
      </c>
      <c r="H68" s="12">
        <f>Thurs!L69</f>
        <v>2</v>
      </c>
      <c r="I68" s="18">
        <f t="shared" si="0"/>
        <v>6</v>
      </c>
    </row>
    <row r="69" customHeight="1" spans="1:9">
      <c r="A69" s="21"/>
      <c r="B69" s="9">
        <v>4</v>
      </c>
      <c r="C69" s="10" t="s">
        <v>168</v>
      </c>
      <c r="D69" s="11">
        <f>Sun!L70</f>
        <v>5</v>
      </c>
      <c r="E69" s="12">
        <f>Mon!L70</f>
        <v>4</v>
      </c>
      <c r="F69" s="12">
        <f>Tues!L70</f>
        <v>3</v>
      </c>
      <c r="G69" s="12">
        <f>Wed!L70</f>
        <v>4</v>
      </c>
      <c r="H69" s="12">
        <f>Thurs!L70</f>
        <v>4</v>
      </c>
      <c r="I69" s="18">
        <f t="shared" si="0"/>
        <v>20</v>
      </c>
    </row>
    <row r="70" customHeight="1" spans="1:9">
      <c r="A70" s="21"/>
      <c r="B70" s="9">
        <v>5</v>
      </c>
      <c r="C70" s="10" t="s">
        <v>169</v>
      </c>
      <c r="D70" s="11">
        <f>Sun!L71</f>
        <v>4</v>
      </c>
      <c r="E70" s="12">
        <f>Mon!L71</f>
        <v>4</v>
      </c>
      <c r="F70" s="12">
        <f>Tues!L71</f>
        <v>4</v>
      </c>
      <c r="G70" s="12">
        <f>Wed!L71</f>
        <v>4</v>
      </c>
      <c r="H70" s="12">
        <f>Thurs!L71</f>
        <v>4</v>
      </c>
      <c r="I70" s="18">
        <f t="shared" si="0"/>
        <v>20</v>
      </c>
    </row>
    <row r="71" customHeight="1" spans="1:9">
      <c r="A71" s="21"/>
      <c r="B71" s="9">
        <v>6</v>
      </c>
      <c r="C71" s="10" t="s">
        <v>170</v>
      </c>
      <c r="D71" s="11">
        <f>Sun!L72</f>
        <v>4</v>
      </c>
      <c r="E71" s="12">
        <f>Mon!L72</f>
        <v>4</v>
      </c>
      <c r="F71" s="12">
        <f>Tues!L72</f>
        <v>4</v>
      </c>
      <c r="G71" s="12">
        <f>Wed!L72</f>
        <v>5</v>
      </c>
      <c r="H71" s="12">
        <f>Thurs!L72</f>
        <v>4</v>
      </c>
      <c r="I71" s="18">
        <f t="shared" ref="I71:I106" si="1">SUM(D71:H71)</f>
        <v>21</v>
      </c>
    </row>
    <row r="72" customHeight="1" spans="1:9">
      <c r="A72" s="21"/>
      <c r="B72" s="9">
        <v>7</v>
      </c>
      <c r="C72" s="10" t="s">
        <v>171</v>
      </c>
      <c r="D72" s="11">
        <f>Sun!L73</f>
        <v>4</v>
      </c>
      <c r="E72" s="12">
        <f>Mon!L73</f>
        <v>5</v>
      </c>
      <c r="F72" s="12">
        <f>Tues!L73</f>
        <v>4</v>
      </c>
      <c r="G72" s="12">
        <f>Wed!L73</f>
        <v>4</v>
      </c>
      <c r="H72" s="12">
        <f>Thurs!L73</f>
        <v>4</v>
      </c>
      <c r="I72" s="18">
        <f t="shared" si="1"/>
        <v>21</v>
      </c>
    </row>
    <row r="73" customHeight="1" spans="1:9">
      <c r="A73" s="21"/>
      <c r="B73" s="9">
        <v>8</v>
      </c>
      <c r="C73" s="10" t="s">
        <v>172</v>
      </c>
      <c r="D73" s="11">
        <f>Sun!L74</f>
        <v>4</v>
      </c>
      <c r="E73" s="12">
        <f>Mon!L74</f>
        <v>4</v>
      </c>
      <c r="F73" s="12">
        <f>Tues!L74</f>
        <v>4</v>
      </c>
      <c r="G73" s="12">
        <f>Wed!L74</f>
        <v>5</v>
      </c>
      <c r="H73" s="12">
        <f>Thurs!L74</f>
        <v>4</v>
      </c>
      <c r="I73" s="18">
        <f t="shared" si="1"/>
        <v>21</v>
      </c>
    </row>
    <row r="74" customHeight="1" spans="1:9">
      <c r="A74" s="21"/>
      <c r="B74" s="9">
        <v>9</v>
      </c>
      <c r="C74" s="10" t="s">
        <v>173</v>
      </c>
      <c r="D74" s="11">
        <f>Sun!L75</f>
        <v>4</v>
      </c>
      <c r="E74" s="12">
        <f>Mon!L75</f>
        <v>4</v>
      </c>
      <c r="F74" s="12">
        <f>Tues!L75</f>
        <v>4</v>
      </c>
      <c r="G74" s="12">
        <f>Wed!L75</f>
        <v>5</v>
      </c>
      <c r="H74" s="12">
        <f>Thurs!L75</f>
        <v>4</v>
      </c>
      <c r="I74" s="18">
        <f t="shared" si="1"/>
        <v>21</v>
      </c>
    </row>
    <row r="75" customHeight="1" spans="1:9">
      <c r="A75" s="21"/>
      <c r="B75" s="9">
        <v>10</v>
      </c>
      <c r="C75" s="10" t="s">
        <v>174</v>
      </c>
      <c r="D75" s="11">
        <f>Sun!L76</f>
        <v>4</v>
      </c>
      <c r="E75" s="12">
        <f>Mon!L76</f>
        <v>4</v>
      </c>
      <c r="F75" s="12">
        <f>Tues!L76</f>
        <v>4</v>
      </c>
      <c r="G75" s="12">
        <f>Wed!L76</f>
        <v>4</v>
      </c>
      <c r="H75" s="12">
        <f>Thurs!L76</f>
        <v>5</v>
      </c>
      <c r="I75" s="18">
        <f t="shared" si="1"/>
        <v>21</v>
      </c>
    </row>
    <row r="76" customHeight="1" spans="1:9">
      <c r="A76" s="9" t="s">
        <v>175</v>
      </c>
      <c r="B76" s="9">
        <v>1</v>
      </c>
      <c r="C76" s="10" t="s">
        <v>176</v>
      </c>
      <c r="D76" s="11">
        <f>Sun!L77</f>
        <v>4</v>
      </c>
      <c r="E76" s="12">
        <f>Mon!L77</f>
        <v>4</v>
      </c>
      <c r="F76" s="12">
        <f>Tues!L77</f>
        <v>4</v>
      </c>
      <c r="G76" s="12">
        <f>Wed!L77</f>
        <v>5</v>
      </c>
      <c r="H76" s="12">
        <f>Thurs!L77</f>
        <v>4</v>
      </c>
      <c r="I76" s="18">
        <f t="shared" si="1"/>
        <v>21</v>
      </c>
    </row>
    <row r="77" customHeight="1" spans="1:9">
      <c r="A77" s="9"/>
      <c r="B77" s="9">
        <v>2</v>
      </c>
      <c r="C77" s="10" t="s">
        <v>177</v>
      </c>
      <c r="D77" s="11">
        <f>Sun!L78</f>
        <v>4</v>
      </c>
      <c r="E77" s="12">
        <f>Mon!L78</f>
        <v>3</v>
      </c>
      <c r="F77" s="12">
        <f>Tues!L78</f>
        <v>5</v>
      </c>
      <c r="G77" s="12">
        <f>Wed!L78</f>
        <v>3</v>
      </c>
      <c r="H77" s="12">
        <f>Thurs!L78</f>
        <v>5</v>
      </c>
      <c r="I77" s="18">
        <f t="shared" si="1"/>
        <v>20</v>
      </c>
    </row>
    <row r="78" customHeight="1" spans="1:9">
      <c r="A78" s="9"/>
      <c r="B78" s="9">
        <v>3</v>
      </c>
      <c r="C78" s="10" t="s">
        <v>178</v>
      </c>
      <c r="D78" s="11">
        <f>Sun!L79</f>
        <v>4</v>
      </c>
      <c r="E78" s="12">
        <f>Mon!L79</f>
        <v>4</v>
      </c>
      <c r="F78" s="12">
        <f>Tues!L79</f>
        <v>3</v>
      </c>
      <c r="G78" s="12">
        <f>Wed!L79</f>
        <v>5</v>
      </c>
      <c r="H78" s="12">
        <f>Thurs!L79</f>
        <v>4</v>
      </c>
      <c r="I78" s="18">
        <f t="shared" si="1"/>
        <v>20</v>
      </c>
    </row>
    <row r="79" customHeight="1" spans="1:9">
      <c r="A79" s="9"/>
      <c r="B79" s="9">
        <v>4</v>
      </c>
      <c r="C79" s="10" t="s">
        <v>179</v>
      </c>
      <c r="D79" s="11">
        <f>Sun!L80</f>
        <v>5</v>
      </c>
      <c r="E79" s="12">
        <f>Mon!L80</f>
        <v>4</v>
      </c>
      <c r="F79" s="12">
        <f>Tues!L80</f>
        <v>4</v>
      </c>
      <c r="G79" s="12">
        <f>Wed!L80</f>
        <v>3</v>
      </c>
      <c r="H79" s="12">
        <f>Thurs!L80</f>
        <v>4</v>
      </c>
      <c r="I79" s="18">
        <f t="shared" si="1"/>
        <v>20</v>
      </c>
    </row>
    <row r="80" customHeight="1" spans="1:9">
      <c r="A80" s="9"/>
      <c r="B80" s="9">
        <v>5</v>
      </c>
      <c r="C80" s="10" t="s">
        <v>180</v>
      </c>
      <c r="D80" s="11">
        <f>Sun!L81</f>
        <v>4</v>
      </c>
      <c r="E80" s="12">
        <f>Mon!L81</f>
        <v>4</v>
      </c>
      <c r="F80" s="12">
        <f>Tues!L81</f>
        <v>4</v>
      </c>
      <c r="G80" s="12">
        <f>Wed!L81</f>
        <v>4</v>
      </c>
      <c r="H80" s="12">
        <f>Thurs!L81</f>
        <v>4</v>
      </c>
      <c r="I80" s="18">
        <f t="shared" si="1"/>
        <v>20</v>
      </c>
    </row>
    <row r="81" customHeight="1" spans="1:9">
      <c r="A81" s="9"/>
      <c r="B81" s="9">
        <v>6</v>
      </c>
      <c r="C81" s="10" t="s">
        <v>181</v>
      </c>
      <c r="D81" s="11">
        <f>Sun!L82</f>
        <v>4</v>
      </c>
      <c r="E81" s="12">
        <f>Mon!L82</f>
        <v>5</v>
      </c>
      <c r="F81" s="12">
        <f>Tues!L82</f>
        <v>4</v>
      </c>
      <c r="G81" s="12">
        <f>Wed!L82</f>
        <v>4</v>
      </c>
      <c r="H81" s="12">
        <f>Thurs!L82</f>
        <v>3</v>
      </c>
      <c r="I81" s="18">
        <f t="shared" si="1"/>
        <v>20</v>
      </c>
    </row>
    <row r="82" customHeight="1" spans="1:9">
      <c r="A82" s="9"/>
      <c r="B82" s="9">
        <v>7</v>
      </c>
      <c r="C82" s="10" t="s">
        <v>182</v>
      </c>
      <c r="D82" s="11">
        <f>Sun!L83</f>
        <v>4</v>
      </c>
      <c r="E82" s="12">
        <f>Mon!L83</f>
        <v>4</v>
      </c>
      <c r="F82" s="12">
        <f>Tues!L83</f>
        <v>3</v>
      </c>
      <c r="G82" s="12">
        <f>Wed!L83</f>
        <v>5</v>
      </c>
      <c r="H82" s="12">
        <f>Thurs!L83</f>
        <v>4</v>
      </c>
      <c r="I82" s="18">
        <f t="shared" si="1"/>
        <v>20</v>
      </c>
    </row>
    <row r="83" customHeight="1" spans="1:9">
      <c r="A83" s="9"/>
      <c r="B83" s="9">
        <v>8</v>
      </c>
      <c r="C83" s="10" t="s">
        <v>183</v>
      </c>
      <c r="D83" s="11">
        <f>Sun!L84</f>
        <v>4</v>
      </c>
      <c r="E83" s="12">
        <f>Mon!L84</f>
        <v>4</v>
      </c>
      <c r="F83" s="12">
        <f>Tues!L84</f>
        <v>4</v>
      </c>
      <c r="G83" s="12">
        <f>Wed!L84</f>
        <v>4</v>
      </c>
      <c r="H83" s="12">
        <f>Thurs!L84</f>
        <v>4</v>
      </c>
      <c r="I83" s="18">
        <f t="shared" si="1"/>
        <v>20</v>
      </c>
    </row>
    <row r="84" customHeight="1" spans="1:9">
      <c r="A84" s="9"/>
      <c r="B84" s="9">
        <v>9</v>
      </c>
      <c r="C84" s="10" t="s">
        <v>184</v>
      </c>
      <c r="D84" s="11">
        <f>Sun!L85</f>
        <v>4</v>
      </c>
      <c r="E84" s="12">
        <f>Mon!L85</f>
        <v>4</v>
      </c>
      <c r="F84" s="12">
        <f>Tues!L85</f>
        <v>5</v>
      </c>
      <c r="G84" s="12">
        <f>Wed!L85</f>
        <v>4</v>
      </c>
      <c r="H84" s="12">
        <f>Thurs!L85</f>
        <v>4</v>
      </c>
      <c r="I84" s="18">
        <f t="shared" si="1"/>
        <v>21</v>
      </c>
    </row>
    <row r="85" customHeight="1" spans="1:9">
      <c r="A85" s="9"/>
      <c r="B85" s="9">
        <v>10</v>
      </c>
      <c r="C85" s="10" t="s">
        <v>185</v>
      </c>
      <c r="D85" s="11">
        <f>Sun!L86</f>
        <v>4</v>
      </c>
      <c r="E85" s="12">
        <f>Mon!L86</f>
        <v>4</v>
      </c>
      <c r="F85" s="12">
        <f>Tues!L86</f>
        <v>5</v>
      </c>
      <c r="G85" s="12">
        <f>Wed!L86</f>
        <v>4</v>
      </c>
      <c r="H85" s="12">
        <f>Thurs!L86</f>
        <v>4</v>
      </c>
      <c r="I85" s="18">
        <f t="shared" si="1"/>
        <v>21</v>
      </c>
    </row>
    <row r="86" customHeight="1" spans="1:9">
      <c r="A86" s="9" t="s">
        <v>186</v>
      </c>
      <c r="B86" s="9">
        <v>1</v>
      </c>
      <c r="C86" s="10" t="s">
        <v>187</v>
      </c>
      <c r="D86" s="11">
        <f>Sun!L87</f>
        <v>3</v>
      </c>
      <c r="E86" s="12">
        <f>Mon!L87</f>
        <v>3</v>
      </c>
      <c r="F86" s="12">
        <f>Tues!L87</f>
        <v>5</v>
      </c>
      <c r="G86" s="12">
        <f>Wed!L87</f>
        <v>4</v>
      </c>
      <c r="H86" s="12">
        <f>Thurs!L87</f>
        <v>3</v>
      </c>
      <c r="I86" s="18">
        <f t="shared" si="1"/>
        <v>18</v>
      </c>
    </row>
    <row r="87" customHeight="1" spans="1:9">
      <c r="A87" s="9"/>
      <c r="B87" s="9">
        <v>2</v>
      </c>
      <c r="C87" s="10" t="s">
        <v>188</v>
      </c>
      <c r="D87" s="11">
        <f>Sun!L88</f>
        <v>4</v>
      </c>
      <c r="E87" s="12">
        <f>Mon!L88</f>
        <v>5</v>
      </c>
      <c r="F87" s="12">
        <f>Tues!L88</f>
        <v>4</v>
      </c>
      <c r="G87" s="12">
        <f>Wed!L88</f>
        <v>4</v>
      </c>
      <c r="H87" s="12">
        <f>Thurs!L88</f>
        <v>4</v>
      </c>
      <c r="I87" s="18">
        <f t="shared" si="1"/>
        <v>21</v>
      </c>
    </row>
    <row r="88" customHeight="1" spans="1:9">
      <c r="A88" s="9"/>
      <c r="B88" s="9">
        <v>3</v>
      </c>
      <c r="C88" s="10" t="s">
        <v>189</v>
      </c>
      <c r="D88" s="11">
        <f>Sun!L89</f>
        <v>5</v>
      </c>
      <c r="E88" s="12">
        <f>Mon!L89</f>
        <v>4</v>
      </c>
      <c r="F88" s="12">
        <f>Tues!L89</f>
        <v>4</v>
      </c>
      <c r="G88" s="12">
        <f>Wed!L89</f>
        <v>4</v>
      </c>
      <c r="H88" s="12">
        <f>Thurs!L89</f>
        <v>4</v>
      </c>
      <c r="I88" s="18">
        <f t="shared" si="1"/>
        <v>21</v>
      </c>
    </row>
    <row r="89" customHeight="1" spans="1:9">
      <c r="A89" s="9"/>
      <c r="B89" s="9">
        <v>4</v>
      </c>
      <c r="C89" s="10" t="s">
        <v>190</v>
      </c>
      <c r="D89" s="11">
        <f>Sun!L90</f>
        <v>4</v>
      </c>
      <c r="E89" s="12">
        <f>Mon!L90</f>
        <v>4</v>
      </c>
      <c r="F89" s="12">
        <f>Tues!L90</f>
        <v>4</v>
      </c>
      <c r="G89" s="12">
        <f>Wed!L90</f>
        <v>5</v>
      </c>
      <c r="H89" s="12">
        <f>Thurs!L90</f>
        <v>4</v>
      </c>
      <c r="I89" s="18">
        <f t="shared" si="1"/>
        <v>21</v>
      </c>
    </row>
    <row r="90" customHeight="1" spans="1:9">
      <c r="A90" s="13" t="s">
        <v>191</v>
      </c>
      <c r="B90" s="9">
        <v>1</v>
      </c>
      <c r="C90" s="10" t="s">
        <v>192</v>
      </c>
      <c r="D90" s="11">
        <f>Sun!L91</f>
        <v>4</v>
      </c>
      <c r="E90" s="12">
        <f>Mon!L91</f>
        <v>4</v>
      </c>
      <c r="F90" s="12">
        <f>Tues!L91</f>
        <v>3</v>
      </c>
      <c r="G90" s="12">
        <f>Wed!L91</f>
        <v>3</v>
      </c>
      <c r="H90" s="12">
        <f>Thurs!L91</f>
        <v>4</v>
      </c>
      <c r="I90" s="18">
        <f t="shared" si="1"/>
        <v>18</v>
      </c>
    </row>
    <row r="91" customHeight="1" spans="1:9">
      <c r="A91" s="14"/>
      <c r="B91" s="9">
        <v>2</v>
      </c>
      <c r="C91" s="10" t="s">
        <v>193</v>
      </c>
      <c r="D91" s="11">
        <f>Sun!L92</f>
        <v>3</v>
      </c>
      <c r="E91" s="12">
        <f>Mon!L92</f>
        <v>4</v>
      </c>
      <c r="F91" s="12">
        <f>Tues!L92</f>
        <v>4</v>
      </c>
      <c r="G91" s="12">
        <f>Wed!L92</f>
        <v>4</v>
      </c>
      <c r="H91" s="12">
        <f>Thurs!L92</f>
        <v>4</v>
      </c>
      <c r="I91" s="18">
        <f t="shared" si="1"/>
        <v>19</v>
      </c>
    </row>
    <row r="92" customHeight="1" spans="1:9">
      <c r="A92" s="14"/>
      <c r="B92" s="9">
        <v>3</v>
      </c>
      <c r="C92" s="10" t="s">
        <v>196</v>
      </c>
      <c r="D92" s="11">
        <f>Sun!L93</f>
        <v>3</v>
      </c>
      <c r="E92" s="12">
        <f>Mon!L93</f>
        <v>4</v>
      </c>
      <c r="F92" s="12">
        <f>Tues!L93</f>
        <v>4</v>
      </c>
      <c r="G92" s="12">
        <f>Wed!L93</f>
        <v>4</v>
      </c>
      <c r="H92" s="12">
        <f>Thurs!L93</f>
        <v>4</v>
      </c>
      <c r="I92" s="18">
        <f t="shared" si="1"/>
        <v>19</v>
      </c>
    </row>
    <row r="93" customHeight="1" spans="1:9">
      <c r="A93" s="14"/>
      <c r="B93" s="9">
        <v>4</v>
      </c>
      <c r="C93" s="10" t="s">
        <v>200</v>
      </c>
      <c r="D93" s="11">
        <f>Sun!L94</f>
        <v>4</v>
      </c>
      <c r="E93" s="12">
        <f>Mon!L94</f>
        <v>4</v>
      </c>
      <c r="F93" s="12">
        <f>Tues!L94</f>
        <v>4</v>
      </c>
      <c r="G93" s="12">
        <f>Wed!L94</f>
        <v>4</v>
      </c>
      <c r="H93" s="12">
        <f>Thurs!L94</f>
        <v>4</v>
      </c>
      <c r="I93" s="18">
        <f t="shared" si="1"/>
        <v>20</v>
      </c>
    </row>
    <row r="94" customHeight="1" spans="1:9">
      <c r="A94" s="14"/>
      <c r="B94" s="9">
        <v>5</v>
      </c>
      <c r="C94" s="10" t="s">
        <v>201</v>
      </c>
      <c r="D94" s="11">
        <f>Sun!L95</f>
        <v>4</v>
      </c>
      <c r="E94" s="12">
        <f>Mon!L95</f>
        <v>4</v>
      </c>
      <c r="F94" s="12">
        <f>Tues!L95</f>
        <v>4</v>
      </c>
      <c r="G94" s="12">
        <f>Wed!L95</f>
        <v>4</v>
      </c>
      <c r="H94" s="12">
        <f>Thurs!L95</f>
        <v>3</v>
      </c>
      <c r="I94" s="18">
        <f t="shared" si="1"/>
        <v>19</v>
      </c>
    </row>
    <row r="95" customHeight="1" spans="1:9">
      <c r="A95" s="22" t="s">
        <v>202</v>
      </c>
      <c r="B95" s="9">
        <v>1</v>
      </c>
      <c r="C95" s="10" t="s">
        <v>203</v>
      </c>
      <c r="D95" s="11">
        <f>Sun!L96</f>
        <v>4</v>
      </c>
      <c r="E95" s="12">
        <f>Mon!L96</f>
        <v>4</v>
      </c>
      <c r="F95" s="12">
        <f>Tues!L96</f>
        <v>4</v>
      </c>
      <c r="G95" s="12">
        <f>Wed!L96</f>
        <v>4</v>
      </c>
      <c r="H95" s="12">
        <f>Thurs!L96</f>
        <v>4</v>
      </c>
      <c r="I95" s="18">
        <f t="shared" si="1"/>
        <v>20</v>
      </c>
    </row>
    <row r="96" customHeight="1" spans="1:9">
      <c r="A96" s="23"/>
      <c r="B96" s="9">
        <v>2</v>
      </c>
      <c r="C96" s="10" t="s">
        <v>204</v>
      </c>
      <c r="D96" s="11">
        <f>Sun!L97</f>
        <v>3</v>
      </c>
      <c r="E96" s="12">
        <f>Mon!L97</f>
        <v>4</v>
      </c>
      <c r="F96" s="12">
        <f>Tues!L97</f>
        <v>4</v>
      </c>
      <c r="G96" s="12">
        <f>Wed!L97</f>
        <v>4</v>
      </c>
      <c r="H96" s="12">
        <f>Thurs!L97</f>
        <v>3</v>
      </c>
      <c r="I96" s="18">
        <f t="shared" si="1"/>
        <v>18</v>
      </c>
    </row>
    <row r="97" customHeight="1" spans="1:9">
      <c r="A97" s="23"/>
      <c r="B97" s="9">
        <v>3</v>
      </c>
      <c r="C97" s="10" t="s">
        <v>205</v>
      </c>
      <c r="D97" s="11">
        <f>Sun!L98</f>
        <v>2</v>
      </c>
      <c r="E97" s="12">
        <f>Mon!L98</f>
        <v>3</v>
      </c>
      <c r="F97" s="12">
        <f>Tues!L98</f>
        <v>4</v>
      </c>
      <c r="G97" s="12">
        <f>Wed!L98</f>
        <v>4</v>
      </c>
      <c r="H97" s="12">
        <f>Thurs!L98</f>
        <v>5</v>
      </c>
      <c r="I97" s="18">
        <f t="shared" si="1"/>
        <v>18</v>
      </c>
    </row>
    <row r="98" customHeight="1" spans="1:9">
      <c r="A98" s="23"/>
      <c r="B98" s="9">
        <v>4</v>
      </c>
      <c r="C98" s="10" t="s">
        <v>206</v>
      </c>
      <c r="D98" s="11">
        <f>Sun!L99</f>
        <v>3</v>
      </c>
      <c r="E98" s="12">
        <f>Mon!L99</f>
        <v>4</v>
      </c>
      <c r="F98" s="12">
        <f>Tues!L99</f>
        <v>4</v>
      </c>
      <c r="G98" s="12">
        <f>Wed!L99</f>
        <v>4</v>
      </c>
      <c r="H98" s="12">
        <f>Thurs!L99</f>
        <v>4</v>
      </c>
      <c r="I98" s="18">
        <f t="shared" si="1"/>
        <v>19</v>
      </c>
    </row>
    <row r="99" customHeight="1" spans="1:9">
      <c r="A99" s="23"/>
      <c r="B99" s="9">
        <v>5</v>
      </c>
      <c r="C99" s="10" t="s">
        <v>207</v>
      </c>
      <c r="D99" s="11">
        <f>Sun!L100</f>
        <v>4</v>
      </c>
      <c r="E99" s="12">
        <f>Mon!L100</f>
        <v>4</v>
      </c>
      <c r="F99" s="12">
        <f>Tues!L100</f>
        <v>4</v>
      </c>
      <c r="G99" s="12">
        <f>Wed!L100</f>
        <v>4</v>
      </c>
      <c r="H99" s="12">
        <f>Thurs!L100</f>
        <v>4</v>
      </c>
      <c r="I99" s="18">
        <f t="shared" si="1"/>
        <v>20</v>
      </c>
    </row>
    <row r="100" customHeight="1" spans="1:9">
      <c r="A100" s="24"/>
      <c r="B100" s="9">
        <v>6</v>
      </c>
      <c r="C100" s="10" t="s">
        <v>209</v>
      </c>
      <c r="D100" s="11">
        <f>Sun!L101</f>
        <v>2</v>
      </c>
      <c r="E100" s="12">
        <f>Mon!L101</f>
        <v>3</v>
      </c>
      <c r="F100" s="12">
        <f>Tues!L101</f>
        <v>4</v>
      </c>
      <c r="G100" s="12">
        <f>Wed!L101</f>
        <v>3</v>
      </c>
      <c r="H100" s="12">
        <f>Thurs!L101</f>
        <v>3</v>
      </c>
      <c r="I100" s="18">
        <f t="shared" si="1"/>
        <v>15</v>
      </c>
    </row>
    <row r="101" customHeight="1" spans="1:9">
      <c r="A101" s="9" t="s">
        <v>210</v>
      </c>
      <c r="B101" s="9">
        <v>1</v>
      </c>
      <c r="C101" s="10" t="s">
        <v>211</v>
      </c>
      <c r="D101" s="11">
        <f>Sun!L102</f>
        <v>4</v>
      </c>
      <c r="E101" s="12">
        <f>Mon!L102</f>
        <v>5</v>
      </c>
      <c r="F101" s="12">
        <f>Tues!L102</f>
        <v>4</v>
      </c>
      <c r="G101" s="12">
        <f>Wed!L102</f>
        <v>3</v>
      </c>
      <c r="H101" s="12">
        <f>Thurs!L102</f>
        <v>4</v>
      </c>
      <c r="I101" s="18">
        <f t="shared" si="1"/>
        <v>20</v>
      </c>
    </row>
    <row r="102" customHeight="1" spans="1:9">
      <c r="A102" s="9"/>
      <c r="B102" s="9">
        <v>2</v>
      </c>
      <c r="C102" s="10" t="s">
        <v>212</v>
      </c>
      <c r="D102" s="11">
        <f>Sun!L103</f>
        <v>5</v>
      </c>
      <c r="E102" s="12">
        <f>Mon!L103</f>
        <v>4</v>
      </c>
      <c r="F102" s="12">
        <f>Tues!L103</f>
        <v>4</v>
      </c>
      <c r="G102" s="12">
        <f>Wed!L103</f>
        <v>4</v>
      </c>
      <c r="H102" s="12">
        <f>Thurs!L103</f>
        <v>3</v>
      </c>
      <c r="I102" s="18">
        <f t="shared" si="1"/>
        <v>20</v>
      </c>
    </row>
    <row r="103" customHeight="1" spans="1:9">
      <c r="A103" s="9"/>
      <c r="B103" s="9">
        <v>3</v>
      </c>
      <c r="C103" s="10" t="s">
        <v>213</v>
      </c>
      <c r="D103" s="11">
        <f>Sun!L104</f>
        <v>4</v>
      </c>
      <c r="E103" s="12">
        <f>Mon!L104</f>
        <v>4</v>
      </c>
      <c r="F103" s="12">
        <f>Tues!L104</f>
        <v>4</v>
      </c>
      <c r="G103" s="12">
        <f>Wed!L104</f>
        <v>4</v>
      </c>
      <c r="H103" s="12">
        <f>Thurs!L104</f>
        <v>4</v>
      </c>
      <c r="I103" s="18">
        <f t="shared" si="1"/>
        <v>20</v>
      </c>
    </row>
    <row r="104" customHeight="1" spans="1:9">
      <c r="A104" s="9"/>
      <c r="B104" s="9">
        <v>4</v>
      </c>
      <c r="C104" s="10" t="s">
        <v>214</v>
      </c>
      <c r="D104" s="11">
        <f>Sun!L105</f>
        <v>4</v>
      </c>
      <c r="E104" s="12">
        <f>Mon!L105</f>
        <v>3</v>
      </c>
      <c r="F104" s="12">
        <f>Tues!L105</f>
        <v>5</v>
      </c>
      <c r="G104" s="12">
        <f>Wed!L105</f>
        <v>4</v>
      </c>
      <c r="H104" s="12">
        <f>Thurs!L105</f>
        <v>4</v>
      </c>
      <c r="I104" s="18">
        <f t="shared" si="1"/>
        <v>20</v>
      </c>
    </row>
    <row r="105" customHeight="1" spans="1:9">
      <c r="A105" s="9"/>
      <c r="B105" s="9">
        <v>5</v>
      </c>
      <c r="C105" s="10" t="s">
        <v>215</v>
      </c>
      <c r="D105" s="11">
        <f>Sun!L106</f>
        <v>4</v>
      </c>
      <c r="E105" s="12">
        <f>Mon!L106</f>
        <v>5</v>
      </c>
      <c r="F105" s="12">
        <f>Tues!L106</f>
        <v>4</v>
      </c>
      <c r="G105" s="12">
        <f>Wed!L106</f>
        <v>4</v>
      </c>
      <c r="H105" s="12">
        <f>Thurs!L106</f>
        <v>3</v>
      </c>
      <c r="I105" s="18">
        <f t="shared" si="1"/>
        <v>20</v>
      </c>
    </row>
    <row r="106" customHeight="1" spans="1:9">
      <c r="A106" s="9" t="s">
        <v>216</v>
      </c>
      <c r="B106" s="9">
        <v>1</v>
      </c>
      <c r="C106" s="10" t="s">
        <v>217</v>
      </c>
      <c r="D106" s="11">
        <f>Sun!L107</f>
        <v>4</v>
      </c>
      <c r="E106" s="12">
        <f>Mon!L107</f>
        <v>4</v>
      </c>
      <c r="F106" s="12">
        <f>Tues!L107</f>
        <v>4</v>
      </c>
      <c r="G106" s="12">
        <f>Wed!L107</f>
        <v>5</v>
      </c>
      <c r="H106" s="12">
        <f>Thurs!L107</f>
        <v>3</v>
      </c>
      <c r="I106" s="18">
        <f t="shared" si="1"/>
        <v>20</v>
      </c>
    </row>
    <row r="107" customHeight="1" spans="9:9">
      <c r="I107" s="2">
        <f>SUM(I4:I106)</f>
        <v>2021</v>
      </c>
    </row>
  </sheetData>
  <mergeCells count="13">
    <mergeCell ref="A2:I2"/>
    <mergeCell ref="A4:A19"/>
    <mergeCell ref="A20:A35"/>
    <mergeCell ref="A36:A51"/>
    <mergeCell ref="A53:A55"/>
    <mergeCell ref="A56:A61"/>
    <mergeCell ref="A62:A65"/>
    <mergeCell ref="A66:A75"/>
    <mergeCell ref="A76:A85"/>
    <mergeCell ref="A86:A89"/>
    <mergeCell ref="A90:A94"/>
    <mergeCell ref="A95:A100"/>
    <mergeCell ref="A101:A105"/>
  </mergeCells>
  <conditionalFormatting sqref="B4:I106">
    <cfRule type="expression" dxfId="2" priority="1">
      <formula>MOD(ROW(),2)=1</formula>
    </cfRule>
  </conditionalFormatting>
  <pageMargins left="0.95" right="0.7" top="0.75" bottom="0.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Sun</vt:lpstr>
      <vt:lpstr>Mon</vt:lpstr>
      <vt:lpstr>Tues</vt:lpstr>
      <vt:lpstr>Wed</vt:lpstr>
      <vt:lpstr>Thurs</vt:lpstr>
      <vt:lpstr>Acct of Class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</dc:creator>
  <cp:lastModifiedBy>USER</cp:lastModifiedBy>
  <dcterms:created xsi:type="dcterms:W3CDTF">2019-12-05T02:41:00Z</dcterms:created>
  <cp:lastPrinted>2025-12-22T10:18:00Z</cp:lastPrinted>
  <dcterms:modified xsi:type="dcterms:W3CDTF">2025-12-25T03:43:52Z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152CC8FAA8F242CCACCD5E06E40EE432_12</vt:lpwstr>
  </property>
  <property fmtid="{D5CDD505-2E9C-101B-9397-08002B2CF9AE}" pid="3" name="KSOProductBuildVer">
    <vt:lpwstr>1033-12.2.0.23196</vt:lpwstr>
  </property>
</Properties>
</file>